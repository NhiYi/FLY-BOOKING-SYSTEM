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New folder\tester\project\project_2\"/>
    </mc:Choice>
  </mc:AlternateContent>
  <xr:revisionPtr revIDLastSave="0" documentId="13_ncr:1_{4A83A17A-49FB-4285-A318-D2FB2A07A76F}" xr6:coauthVersionLast="47" xr6:coauthVersionMax="47" xr10:uidLastSave="{00000000-0000-0000-0000-000000000000}"/>
  <bookViews>
    <workbookView xWindow="-110" yWindow="-110" windowWidth="19420" windowHeight="10300" tabRatio="500" xr2:uid="{00000000-000D-0000-FFFF-FFFF00000000}"/>
  </bookViews>
  <sheets>
    <sheet name="Cover" sheetId="1" r:id="rId1"/>
    <sheet name="FlyBookingTestCase" sheetId="2" r:id="rId2"/>
    <sheet name="Summary"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5" i="3" l="1"/>
  <c r="F7" i="2"/>
  <c r="E7" i="2"/>
  <c r="D7" i="2"/>
  <c r="C7" i="2"/>
  <c r="B7" i="2"/>
  <c r="F6" i="2"/>
  <c r="H5" i="3" s="1"/>
  <c r="H8" i="3" s="1"/>
  <c r="E6" i="2"/>
  <c r="G5" i="3" s="1"/>
  <c r="G8" i="3" s="1"/>
  <c r="D6" i="2"/>
  <c r="F5" i="3" s="1"/>
  <c r="F8" i="3" s="1"/>
  <c r="C6" i="2"/>
  <c r="E5" i="3" s="1"/>
  <c r="E8" i="3" s="1"/>
  <c r="B6" i="2"/>
  <c r="D5" i="3" s="1"/>
  <c r="D8" i="3" s="1"/>
  <c r="F5" i="2"/>
  <c r="E5" i="2"/>
  <c r="D5" i="2"/>
  <c r="C5" i="2"/>
  <c r="B5" i="2"/>
  <c r="C6" i="1"/>
  <c r="E11" i="3" l="1"/>
  <c r="E10" i="3"/>
</calcChain>
</file>

<file path=xl/sharedStrings.xml><?xml version="1.0" encoding="utf-8"?>
<sst xmlns="http://schemas.openxmlformats.org/spreadsheetml/2006/main" count="637" uniqueCount="383">
  <si>
    <t>TEST CASE</t>
  </si>
  <si>
    <t xml:space="preserve"> </t>
  </si>
  <si>
    <t>Project Name</t>
  </si>
  <si>
    <t>Fly Booking System</t>
  </si>
  <si>
    <t>Creator</t>
  </si>
  <si>
    <t>Project Code</t>
  </si>
  <si>
    <t>FLYBOOKING</t>
  </si>
  <si>
    <t>Reviewer/Approver</t>
  </si>
  <si>
    <t>Document Code</t>
  </si>
  <si>
    <t>Date</t>
  </si>
  <si>
    <t>Version</t>
  </si>
  <si>
    <t>History</t>
  </si>
  <si>
    <t>No</t>
  </si>
  <si>
    <t>Function Name</t>
  </si>
  <si>
    <t>Sheet Name</t>
  </si>
  <si>
    <t>A, D, M</t>
  </si>
  <si>
    <t>Description</t>
  </si>
  <si>
    <t>Reference</t>
  </si>
  <si>
    <t>Đặt vé máy bay (Search - Results - Details - Confirm)</t>
  </si>
  <si>
    <t>Fly_Booking_Requirements_V6.docx</t>
  </si>
  <si>
    <t>Module Code</t>
  </si>
  <si>
    <t>FLY</t>
  </si>
  <si>
    <t>Pass</t>
  </si>
  <si>
    <t>Test requirement</t>
  </si>
  <si>
    <t>Kiểm tra chức năng đặt vé máy bay (Search, Search Results, Personal Details, Confirm) - Fly_Booking_Requirements_V6.docx</t>
  </si>
  <si>
    <t>Fail</t>
  </si>
  <si>
    <t>Environment</t>
  </si>
  <si>
    <t>Untested</t>
  </si>
  <si>
    <t>N/A</t>
  </si>
  <si>
    <t>Total</t>
  </si>
  <si>
    <t>IE</t>
  </si>
  <si>
    <t>Chrome</t>
  </si>
  <si>
    <t xml:space="preserve">Firefox </t>
  </si>
  <si>
    <t xml:space="preserve">Tester </t>
  </si>
  <si>
    <t>ID</t>
  </si>
  <si>
    <t>Test Case Description</t>
  </si>
  <si>
    <t>Test Case Procedure</t>
  </si>
  <si>
    <t>Pre - Condition</t>
  </si>
  <si>
    <t>Expected Result</t>
  </si>
  <si>
    <t>Test Data</t>
  </si>
  <si>
    <t>Test Result</t>
  </si>
  <si>
    <t>Test Results</t>
  </si>
  <si>
    <t>Firefox</t>
  </si>
  <si>
    <t>SEARCH - Nơi đi / Nơi đến</t>
  </si>
  <si>
    <t>FLY_01</t>
  </si>
  <si>
    <t>Gõ từ 3 ký tự trở lên ở trường Nơi đi hiển thị gợi ý</t>
  </si>
  <si>
    <t>1. Vào màn hình Search
2. Gõ 3 ký tự vào trường Nơi đi, ví dụ 'HAN'</t>
  </si>
  <si>
    <t>Đang ở màn hình Search</t>
  </si>
  <si>
    <t>Hệ thống hiển thị danh sách gợi ý gồm Tên và Mã sân bay, ví dụ 'Noi Bai airport (HAN)'</t>
  </si>
  <si>
    <t>Nơi đi: HAN</t>
  </si>
  <si>
    <t>Danh sách gợi ý hiển thị đúng định dạng 'Tên (Mã)', ví dụ 'Noi Bai airport (HAN)'.</t>
  </si>
  <si>
    <t>FLY_02</t>
  </si>
  <si>
    <t>Gõ dưới 3 ký tự ở Nơi đi không hiện gợi ý</t>
  </si>
  <si>
    <t>1. Gõ 1-2 ký tự vào trường Nơi đi</t>
  </si>
  <si>
    <t>Hệ thống không hiển thị danh sách gợi ý</t>
  </si>
  <si>
    <t>Nơi đi: HA</t>
  </si>
  <si>
    <t>Gõ 2 ký tự chưa thấy gợi ý nào xuất hiện, đúng kỳ vọng.</t>
  </si>
  <si>
    <t>FLY_03</t>
  </si>
  <si>
    <t>Chọn Nơi đi trùng với Nơi đến</t>
  </si>
  <si>
    <t>1. Chọn Nơi đi = HAN
2. Chọn Nơi đến = HAN
3. Điền các trường còn lại và bấm Search</t>
  </si>
  <si>
    <t>Hệ thống báo lỗi Nơi đi và Nơi đến phải khác nhau, không cho tìm kiếm</t>
  </si>
  <si>
    <t>Nơi đi=HAN, Nơi đến=HAN</t>
  </si>
  <si>
    <t>Hệ thống báo lỗi 'Departure and Destination must be different', không cho tìm kiếm.</t>
  </si>
  <si>
    <t>FLY_04</t>
  </si>
  <si>
    <t>Không nhập Nơi đi hoặc Nơi đến rồi bấm Search</t>
  </si>
  <si>
    <t>1. Bỏ trống Nơi đi (hoặc Nơi đến)
2. Điền các trường còn lại
3. Bấm Search</t>
  </si>
  <si>
    <t>Hệ thống báo lỗi 'Xin hãy thông tin/ Please fulfill the input'</t>
  </si>
  <si>
    <t>Nơi đi: (trống)</t>
  </si>
  <si>
    <t>Hệ thống hiển thị đúng thông báo 'Please fulfill the input'.</t>
  </si>
  <si>
    <t>SEARCH - Ngày đi / Ngày về</t>
  </si>
  <si>
    <t>Ô nhập ngày không nhận ký tự bàn phím, chỉ mở Calendar khi click, đúng spec.</t>
  </si>
  <si>
    <t>FLY_05</t>
  </si>
  <si>
    <t>Chỉ cho chọn Ngày đi qua Calendar, không cho gõ tay</t>
  </si>
  <si>
    <t>1. Click vào trường Ngày đi
2. Thử gõ tay ngày bằng bàn phím</t>
  </si>
  <si>
    <t>Hệ thống không cho gõ tay, chỉ cho chọn qua Calendar popup</t>
  </si>
  <si>
    <t>Gõ thử: 12/30/2026</t>
  </si>
  <si>
    <t>Chọn One way: trường Ngày về bị ẩn ngay lập tức.</t>
  </si>
  <si>
    <t>FLY_06</t>
  </si>
  <si>
    <t>Chọn One way thì ẩn trường Ngày về</t>
  </si>
  <si>
    <t>1. Chọn option One way</t>
  </si>
  <si>
    <t>Trường Ngày về bị ẩn, chỉ hiện Ngày đi</t>
  </si>
  <si>
    <t>Trip type: One way</t>
  </si>
  <si>
    <t>Chọn Round trip: trường Ngày về hiện ra; nếu để trống và bấm Search, hệ thống CHƯA báo lỗi riêng cho Ngày về mà chỉ báo chung 'Please fulfill the input' - chấp nhận được nhưng thông báo chưa cụ thể về trường bị thiếu.</t>
  </si>
  <si>
    <t>FLY_07</t>
  </si>
  <si>
    <t>Chọn Round trip thì hiện và bắt buộc Ngày về</t>
  </si>
  <si>
    <t>1. Chọn option Round trip
2. Không chọn Ngày về
3. Điền các trường còn lại và bấm Search</t>
  </si>
  <si>
    <t>Trường Ngày về được hiển thị; hệ thống báo lỗi bắt buộc chọn Ngày về nếu để trống</t>
  </si>
  <si>
    <t>Trip type: Round trip</t>
  </si>
  <si>
    <t>Hệ thống VẪN CHO tạo tìm kiếm thành công dù Ngày về (19/12) trước Ngày đi (20/12); không hiện thông báo 'Ngày về phải sau ngày đi' như spec yêu cầu.</t>
  </si>
  <si>
    <t>FLY_08</t>
  </si>
  <si>
    <t>Chọn Ngày về trước hoặc bằng Ngày đi</t>
  </si>
  <si>
    <t>1. Chọn Round trip
2. Chọn Ngày đi = 20/12/2026
3. Chọn Ngày về = 20/12/2026 hoặc sớm hơn
4. Bấm Search</t>
  </si>
  <si>
    <t>Đã chọn Round trip</t>
  </si>
  <si>
    <t>Hệ thống báo lỗi 'Ngày về phải sau ngày đi'</t>
  </si>
  <si>
    <t>Ngày đi=20/12/2026, Ngày về=19/12/2026</t>
  </si>
  <si>
    <t>Tìm kiếm thành công, không báo lỗi với Ngày về hợp lệ sau Ngày đi.</t>
  </si>
  <si>
    <t>FLY_09</t>
  </si>
  <si>
    <t>Chọn Ngày về hợp lệ (sau Ngày đi)</t>
  </si>
  <si>
    <t>1. Chọn Round trip
2. Chọn Ngày đi = 20/12/2026, Ngày về = 25/12/2026
3. Bấm Search</t>
  </si>
  <si>
    <t>Hệ thống cho phép tìm kiếm, không báo lỗi</t>
  </si>
  <si>
    <t>Ngày đi=20/12/2026, Ngày về=25/12/2026</t>
  </si>
  <si>
    <t>SEARCH - Số lượng hành khách</t>
  </si>
  <si>
    <t>Adults=1, Child=0, Infant=0 hiển thị đúng mặc định.</t>
  </si>
  <si>
    <t>FLY_10</t>
  </si>
  <si>
    <t>Giá trị mặc định của số lượng hành khách</t>
  </si>
  <si>
    <t>1. Mở màn hình Search, quan sát các ô Adults/Child/Infant</t>
  </si>
  <si>
    <t>Adults mặc định = 1, Child mặc định = 0, Infant mặc định = 0</t>
  </si>
  <si>
    <t>(không nhập gì)</t>
  </si>
  <si>
    <t>Nút '+' ở Adults bị vô hiệu hóa (disable) khi đã đạt giá trị 3, và nút '-' disable khi ở giá trị 1; không cho vượt ngưỡng.</t>
  </si>
  <si>
    <t>FLY_11</t>
  </si>
  <si>
    <t>Nhập Adults nhỏ hơn 1 hoặc lớn hơn 3</t>
  </si>
  <si>
    <t>1. Thử giảm Adults xuống 0 hoặc tăng lên 4</t>
  </si>
  <si>
    <t>Hệ thống chặn, không cho vượt qua khoảng min=1 max=3 (có thể cấu hình được)</t>
  </si>
  <si>
    <t>Adults: 0 hoặc 4</t>
  </si>
  <si>
    <t>Hệ thống KHÔNG kiểm tra ràng buộc 'người lớn &gt;= trẻ em'; vẫn cho tìm kiếm thành công với Adults=1, Child=2.</t>
  </si>
  <si>
    <t>FLY_12</t>
  </si>
  <si>
    <t>Tổng số trẻ em vượt quá số người lớn</t>
  </si>
  <si>
    <t>1. Đặt Adults = 1
2. Đặt Child + Infant &gt; 1 (ví dụ Child=2)
3. Bấm Search</t>
  </si>
  <si>
    <t>Hệ thống báo lỗi vì 1 người lớn chỉ được đi cùng tối đa 1 trẻ em</t>
  </si>
  <si>
    <t>Adults=1, Child=2</t>
  </si>
  <si>
    <t>Tìm kiếm thành công với Adults=1, Child=1, không báo lỗi.</t>
  </si>
  <si>
    <t>FLY_13</t>
  </si>
  <si>
    <t>Số lượng hành khách hợp lệ (Adults=1, Child=1)</t>
  </si>
  <si>
    <t>1. Đặt Adults=1, Child=1, Infant=0
2. Điền các trường còn lại và bấm Search</t>
  </si>
  <si>
    <t>Hệ thống cho phép tìm kiếm bình thường</t>
  </si>
  <si>
    <t>Adults=1, Child=1, Infant=0</t>
  </si>
  <si>
    <t>Vì UI dùng stepper (không cho giảm dưới 1), không thể tạo trường hợp Adults=0 trên giao diện; cần Dev xác nhận có con đường nào (ví dụ qua URL/API) để đặt 0 hay không. Tạm để Untested.</t>
  </si>
  <si>
    <t>FLY_14</t>
  </si>
  <si>
    <t>Bấm Search khi tổng số người = 0</t>
  </si>
  <si>
    <t>1. Đặt Adults=0 (nếu hệ thống cho phép giảm về 0 trước khi validate)
2. Bấm Search</t>
  </si>
  <si>
    <t>Hệ thống báo lỗi 'Xin hãy thông tin' vì số lượng người = 0</t>
  </si>
  <si>
    <t>Adults=0</t>
  </si>
  <si>
    <t>SEARCH - Loại chuyến đi &amp; Hạng vé</t>
  </si>
  <si>
    <t>Mặc định đúng là One way và Economy khi vào màn hình Search.</t>
  </si>
  <si>
    <t>FLY_15</t>
  </si>
  <si>
    <t>Giá trị mặc định của Loại chuyến đi và Hạng vé</t>
  </si>
  <si>
    <t>1. Mở màn hình Search, quan sát</t>
  </si>
  <si>
    <t>Mặc định là One way và hạng Economy</t>
  </si>
  <si>
    <t>Chọn được Business/First, dropdown cập nhật đúng giá trị đã chọn.</t>
  </si>
  <si>
    <t>FLY_16</t>
  </si>
  <si>
    <t>Chọn các hạng vé khác Economy</t>
  </si>
  <si>
    <t>1. Mở dropdown Hạng vé
2. Chọn Business hoặc First</t>
  </si>
  <si>
    <t>Hệ thống cho phép chọn và cập nhật đúng lựa chọn (Business/First)</t>
  </si>
  <si>
    <t>Hạng vé: Business</t>
  </si>
  <si>
    <t>SEARCH - Nút Search (validate tổng hợp)</t>
  </si>
  <si>
    <t>Bấm Search khi thiếu cả 3 trường: hệ thống báo 'Please fulfill the input', không điều hướng sang trang kết quả.</t>
  </si>
  <si>
    <t>FLY_17</t>
  </si>
  <si>
    <t>Bấm Search khi thiếu nhiều trường bắt buộc cùng lúc</t>
  </si>
  <si>
    <t>1. Bỏ trống cả Nơi đi, Nơi đến, Ngày đi
2. Bấm Search</t>
  </si>
  <si>
    <t>Hệ thống báo lỗi 'Xin hãy thông tin/ Please fulfill the input', không thực hiện tìm kiếm</t>
  </si>
  <si>
    <t>Tất cả đều để trống</t>
  </si>
  <si>
    <t>Tìm kiếm thành công, điều hướng sang Search Results với danh sách chuyến bay HAN-SGN hiển thị đầy đủ.</t>
  </si>
  <si>
    <t>FLY_18</t>
  </si>
  <si>
    <t>Tìm kiếm thành công với dữ liệu hợp lệ</t>
  </si>
  <si>
    <t>1. Điền đầy đủ: Nơi đi=HAN, Nơi đến=SGN, Ngày đi=20/12/2026, Adults=1, One way, Economy
2. Bấm Search</t>
  </si>
  <si>
    <t>Hệ thống chuyển sang màn hình Search Results, hiển thị danh sách chuyến bay và giá vé tương ứng</t>
  </si>
  <si>
    <t>HAN -&gt; SGN, 20/12/2026, Adults=1</t>
  </si>
  <si>
    <t>SEARCH RESULTS - Bộ lọc (Filter)</t>
  </si>
  <si>
    <t>Tất cả checkbox Route Stops và Airlines ở trạng thái uncheck mặc định khi vào trang.</t>
  </si>
  <si>
    <t>FLY_19</t>
  </si>
  <si>
    <t>Các ô filter mặc định ở trạng thái uncheck</t>
  </si>
  <si>
    <t>1. Vào màn hình Search Results sau khi tìm kiếm</t>
  </si>
  <si>
    <t>Đã có kết quả tìm kiếm hiển thị</t>
  </si>
  <si>
    <t>Tất cả checkbox trong Route Stops và Airlines đều ở trạng thái uncheck</t>
  </si>
  <si>
    <t>(không thao tác)</t>
  </si>
  <si>
    <t>Sau khi tick 'Direct', danh sách chỉ còn các chuyến bay không dừng, đúng kỳ vọng.</t>
  </si>
  <si>
    <t>FLY_20</t>
  </si>
  <si>
    <t>Lọc theo 1 điều kiện Route Stops</t>
  </si>
  <si>
    <t>1. Tick chọn 'Direct'</t>
  </si>
  <si>
    <t>Đang ở màn hình Search Results</t>
  </si>
  <si>
    <t>Danh sách chỉ hiện các chuyến bay không qua trạm dừng (non-stop)</t>
  </si>
  <si>
    <t>Route Stops: Direct</t>
  </si>
  <si>
    <t>Tick Direct + 1 hãng bay: danh sách lọc đúng cả 2 điều kiện (AND giữa nhóm), đúng như Requirement Log đã xác nhận.</t>
  </si>
  <si>
    <t>FLY_21</t>
  </si>
  <si>
    <t>Lọc kết hợp Route Stops và Airlines (AND giữa 2 nhóm)</t>
  </si>
  <si>
    <t>1. Tick 'Direct' trong Route Stops
2. Tick 1 hãng bay cụ thể trong Airlines</t>
  </si>
  <si>
    <t>Danh sách chỉ hiện chuyến bay THỎA CẢ HAI điều kiện: không dừng + đúng hãng bay đã chọn</t>
  </si>
  <si>
    <t>Route Stops: Direct, Airlines: Delta Air Lines</t>
  </si>
  <si>
    <t>Đổi Ngày đi và bấm lại Search: danh sách Available Flights cập nhật đúng, tuy nhiên phần 'Date Availability' đề cập trong spec KHÔNG hiển thị trên giao diện thực tế (có thể là tính năng chưa triển khai hoặc spec chưa khớp UI).</t>
  </si>
  <si>
    <t>FLY_22</t>
  </si>
  <si>
    <t>Bấm lại nút Search ở Search Results để cập nhật kết quả</t>
  </si>
  <si>
    <t>1. Thay đổi điều kiện tra cứu (ví dụ đổi Ngày đi)
2. Bấm nút Search trên màn hình Search Results</t>
  </si>
  <si>
    <t>Danh sách chuyến bay (Available Flights) và Date Availability được cập nhật theo điều kiện mới</t>
  </si>
  <si>
    <t>Đổi Ngày đi sang ngày khác</t>
  </si>
  <si>
    <t>SEARCH RESULTS - Danh sách chuyến bay</t>
  </si>
  <si>
    <t>Các trường hiển thị đầy đủ: icon+tên hãng bay, mã chuyến bay, tuyến bay, giờ đi/đến, tag non-stop/transit, giá USD - đúng spec.</t>
  </si>
  <si>
    <t>FLY_23</t>
  </si>
  <si>
    <t>Kiểm tra thông tin hiển thị của 1 chuyến bay</t>
  </si>
  <si>
    <t>1. Quan sát 1 dòng kết quả bất kỳ trong danh sách</t>
  </si>
  <si>
    <t>Đã có kết quả tìm kiếm</t>
  </si>
  <si>
    <t>Hiển thị đầy đủ: icon+tên hãng bay, mã số chuyến bay, thông tin đường bay (ví dụ HAN -&gt; SGN), giờ đi/đến, đặc điểm non-stop/transit, giá vé USD</t>
  </si>
  <si>
    <t>(quan sát UI)</t>
  </si>
  <si>
    <t>Nút Book Now ở tất cả các dòng đều ở trạng thái enable.</t>
  </si>
  <si>
    <t>FLY_24</t>
  </si>
  <si>
    <t>Nút Book Now luôn ở trạng thái enable</t>
  </si>
  <si>
    <t>1. Quan sát nút Book Now trên các dòng kết quả</t>
  </si>
  <si>
    <t>Nút Book Now luôn enable trên mọi dòng, không bị mờ (disable)</t>
  </si>
  <si>
    <t>Bấm Book Now điều hướng đúng sang Personal Details, giữ nguyên thông tin chuyến bay đã chọn.</t>
  </si>
  <si>
    <t>FLY_25</t>
  </si>
  <si>
    <t>Bấm Book Now chuyển sang màn hình Personal Details</t>
  </si>
  <si>
    <t>1. Click nút Book Now trên 1 chuyến bay bất kỳ</t>
  </si>
  <si>
    <t>Hệ thống điều hướng sang màn hình nhập Personal Details, giữ đúng thông tin chuyến bay đã chọn</t>
  </si>
  <si>
    <t>Chọn 1 chuyến bay bất kỳ</t>
  </si>
  <si>
    <t>DETAILS - Personal Details</t>
  </si>
  <si>
    <t>Bỏ trống First Name và bấm Confirm: hiển thị 'This field is required' ngay dưới textbox First Name.</t>
  </si>
  <si>
    <t>FLY_26</t>
  </si>
  <si>
    <t>Bỏ trống trường bắt buộc (First Name/Last Name/Email)</t>
  </si>
  <si>
    <t>1. Bỏ trống First Name
2. Điền các trường khác
3. Bấm Confirm This Booking</t>
  </si>
  <si>
    <t>Đang ở màn hình Personal Details</t>
  </si>
  <si>
    <t>Hiển thị error message dưới textbox: 'This field is required'</t>
  </si>
  <si>
    <t>First Name: (trống)</t>
  </si>
  <si>
    <t>Textbox chặn nhập quá 50 ký tự, đúng kỳ vọng.</t>
  </si>
  <si>
    <t>FLY_27</t>
  </si>
  <si>
    <t>Nhập vượt quá 50 ký tự cho các trường text</t>
  </si>
  <si>
    <t>1. Nhập chuỗi 51 ký tự vào First Name (hoặc Address)</t>
  </si>
  <si>
    <t>Hệ thống chặn không cho nhập quá 50 ký tự</t>
  </si>
  <si>
    <t>First Name: chuỗi 51 ký tự</t>
  </si>
  <si>
    <t>Ô Mobile chỉ nhận số và dấu '+' ở đầu, từ chối ký tự chữ; tuy nhiên hệ thống KHÔNG giới hạn độ dài 16 ký tự như spec yêu cầu (vẫn cho nhập 20+ số).</t>
  </si>
  <si>
    <t>FLY_28</t>
  </si>
  <si>
    <t>Nhập Mobile quá 16 ký tự hoặc chứa chữ</t>
  </si>
  <si>
    <t>1. Nhập chữ vào trường Mobile
2. Nhập số có độ dài &gt; 16 ký tự</t>
  </si>
  <si>
    <t>Hệ thống chỉ nhận số (có thể có dấu '+' đầu số), chặn ký tự chữ và giới hạn độ dài 16</t>
  </si>
  <si>
    <t>Mobile: 'abc123' hoặc chuỗi 17 chữ số</t>
  </si>
  <si>
    <t>Gõ 'Viet' vào Country: danh sách lọc đúng ra 'Vietnam'.</t>
  </si>
  <si>
    <t>FLY_29</t>
  </si>
  <si>
    <t>Tìm kiếm quốc gia trong trường Country</t>
  </si>
  <si>
    <t>1. Click vào trường Country
2. Gõ từ khóa tìm kiếm tên quốc gia</t>
  </si>
  <si>
    <t>Hệ thống lọc và hiển thị danh sách quốc gia phù hợp với từ khóa</t>
  </si>
  <si>
    <t>Từ khóa: 'Viet'</t>
  </si>
  <si>
    <t>Nhập coupon nhưng không bấm Apply Coupon, sau đó Confirm: giá tiền không đổi, coupon không được áp dụng, đúng kỳ vọng.</t>
  </si>
  <si>
    <t>FLY_30</t>
  </si>
  <si>
    <t>Nhập Coupon nhưng không bấm Apply Coupon</t>
  </si>
  <si>
    <t>1. Nhập mã coupon vào ô Coupon Code
2. KHÔNG bấm Apply Coupon
3. Bấm Confirm This Booking</t>
  </si>
  <si>
    <t>Coupon không được áp dụng (coi như chưa nhập), giá tiền không đổi</t>
  </si>
  <si>
    <t>Coupon: SUMMER10 (không bấm Apply)</t>
  </si>
  <si>
    <t>Bấm Apply Coupon với mã hợp lệ: hệ thống áp dụng giảm giá và cập nhật lại tổng tiền hiển thị.</t>
  </si>
  <si>
    <t>FLY_31</t>
  </si>
  <si>
    <t>Nhập Coupon hợp lệ và bấm Apply Coupon</t>
  </si>
  <si>
    <t>1. Nhập mã coupon hợp lệ
2. Bấm Apply Coupon</t>
  </si>
  <si>
    <t>Hệ thống áp dụng giảm giá theo giá trị coupon, cập nhật lại tổng tiền</t>
  </si>
  <si>
    <t>Coupon: SUMMER10 (hợp lệ)</t>
  </si>
  <si>
    <t>DETAILS - Passengers</t>
  </si>
  <si>
    <t>Đúng 3 form (trắng/xanh/hồng) hiển thị tương ứng Adult/Child/Infant, đúng số lượng đã chọn ở Search.</t>
  </si>
  <si>
    <t>FLY_32</t>
  </si>
  <si>
    <t>Số lượng form Passenger khớp với số lượng đã chọn ở Search</t>
  </si>
  <si>
    <t>1. Ở bước Search đã chọn Adults=1, Child=1, Infant=1
2. Quan sát màn hình Personal Details</t>
  </si>
  <si>
    <t>Đã search với Adults=1, Child=1, Infant=1</t>
  </si>
  <si>
    <t>Hiển thị đúng 3 khung nhập: 1 form nền trắng (Adult), 1 form nền xanh (Child), 1 form nền hồng (Infant)</t>
  </si>
  <si>
    <t>Adults=1, Child=1, Infant=1</t>
  </si>
  <si>
    <t>Dropdown Age của form Adult chỉ liệt kê giá trị 12-100.</t>
  </si>
  <si>
    <t>FLY_33</t>
  </si>
  <si>
    <t>Nhập Age cho form Adult (nền trắng)</t>
  </si>
  <si>
    <t>1. Click vào trường Age trong form Adult</t>
  </si>
  <si>
    <t>Đang nhập form Adult</t>
  </si>
  <si>
    <t>Danh sách tuổi hiển thị chỉ gồm các giá trị từ 12 đến 100</t>
  </si>
  <si>
    <t>Form Adult</t>
  </si>
  <si>
    <t>Dropdown Age của form Child chỉ liệt kê giá trị 4-11.</t>
  </si>
  <si>
    <t>FLY_34</t>
  </si>
  <si>
    <t>Nhập Age cho form Child (nền xanh)</t>
  </si>
  <si>
    <t>1. Click vào trường Age trong form Child</t>
  </si>
  <si>
    <t>Đang nhập form Child</t>
  </si>
  <si>
    <t>Danh sách tuổi hiển thị chỉ gồm các giá trị từ 4 đến 11</t>
  </si>
  <si>
    <t>Form Child</t>
  </si>
  <si>
    <t>Dropdown Age của form Infant chỉ liệt kê giá trị 0,1,2,3 (&lt;4).</t>
  </si>
  <si>
    <t>FLY_35</t>
  </si>
  <si>
    <t>Nhập Age cho form Infant (nền hồng)</t>
  </si>
  <si>
    <t>1. Click vào trường Age trong form Infant</t>
  </si>
  <si>
    <t>Đang nhập form Infant</t>
  </si>
  <si>
    <t>Danh sách tuổi hiển thị chỉ gồm các giá trị &lt; 4 (3,2,1,0)</t>
  </si>
  <si>
    <t>Form Infant</t>
  </si>
  <si>
    <t>Trường Name chặn nhập số và ký tự đặc biệt, chỉ cho chữ Unicode.</t>
  </si>
  <si>
    <t>FLY_36</t>
  </si>
  <si>
    <t>Nhập Name chứa ký tự không phải Unicode chữ</t>
  </si>
  <si>
    <t>1. Nhập số hoặc ký tự đặc biệt vào trường Name của hành khách</t>
  </si>
  <si>
    <t>Đang nhập thông tin hành khách</t>
  </si>
  <si>
    <t>Hệ thống chặn, chỉ cho phép nhập ký tự Unicode (chữ cái)</t>
  </si>
  <si>
    <t>Name: '12345' hoặc 'Nguyen@Van'</t>
  </si>
  <si>
    <t>Trường Passport Number VẪN CHO nhập dấu cách và một số ký tự đặc biệt như '-', không khớp hoàn toàn với yêu cầu spec (chỉ cho số/chữ).</t>
  </si>
  <si>
    <t>FLY_37</t>
  </si>
  <si>
    <t>Nhập Passport Number chứa ký tự đặc biệt hoặc khoảng trắng</t>
  </si>
  <si>
    <t>1. Nhập ký tự đặc biệt (ví dụ '#', '-') hoặc dấu cách vào Passport Number</t>
  </si>
  <si>
    <t>Hệ thống chặn, chỉ cho phép số và chữ, không cho ký tự đặc biệt/khoảng trắng</t>
  </si>
  <si>
    <t>Passport Number: 'AB 123#45'</t>
  </si>
  <si>
    <t>CONFIRM - Booking Summary / Invoice</t>
  </si>
  <si>
    <t>Đồng hồ đếm ngược hiển thị đúng định dạng và giảm dần theo giây.</t>
  </si>
  <si>
    <t>FLY_38</t>
  </si>
  <si>
    <t>Đếm ngược thời gian thanh toán hiển thị và chạy đúng</t>
  </si>
  <si>
    <t>1. Vào màn hình Confirm ngay sau khi tạo booking
2. Quan sát bộ đếm thời gian</t>
  </si>
  <si>
    <t>Đã tạo booking thành công, đang ở màn hình Confirm</t>
  </si>
  <si>
    <t>Đồng hồ đếm ngược hiển thị đúng định dạng Ngày/Giờ/Phút/Giây và giảm dần theo thời gian thực</t>
  </si>
  <si>
    <t>(quan sát UI trong 1-2 phút)</t>
  </si>
  <si>
    <t>Trạng thái invoice hiển thị 'UNPAID' màu đỏ ngay khi vào màn hình.</t>
  </si>
  <si>
    <t>FLY_39</t>
  </si>
  <si>
    <t>Trạng thái invoice ban đầu là UNPAID</t>
  </si>
  <si>
    <t>1. Quan sát trạng thái invoice ngay khi vào màn hình Confirm</t>
  </si>
  <si>
    <t>Chưa thực hiện thanh toán</t>
  </si>
  <si>
    <t>Nhãn trạng thái hiển thị 'UNPAID'</t>
  </si>
  <si>
    <t>Invoice Date = 11/03/2026, Due Date hiển thị = 11/04/2026, đúng công thức +1 tháng.</t>
  </si>
  <si>
    <t>FLY_40</t>
  </si>
  <si>
    <t>Due Date = Invoice Date + 1 tháng</t>
  </si>
  <si>
    <t>1. Quan sát Invoice Date và Due Date trên màn hình Confirm</t>
  </si>
  <si>
    <t>Đã có invoice được tạo</t>
  </si>
  <si>
    <t>Due Date đúng bằng Invoice Date cộng thêm 1 tháng</t>
  </si>
  <si>
    <t>Invoice Date: 11/03/2026 -&gt; Due Date kỳ vọng: 11/04/2026</t>
  </si>
  <si>
    <t>Đối chiếu số liệu: Total Amount = Deposit Now + Tax &amp; VAT, khớp chính xác.</t>
  </si>
  <si>
    <t>FLY_41</t>
  </si>
  <si>
    <t>Tổng tiền Total Amount = Deposit + Tax &amp; VAT</t>
  </si>
  <si>
    <t>1. Quan sát 3 giá trị Deposit Now, Tax &amp; VAT (10%), Total Amount</t>
  </si>
  <si>
    <t>Total Amount đúng bằng tổng của Deposit Now và Tax &amp; VAT (Tax = 10% của Deposit)</t>
  </si>
  <si>
    <t>(đối chiếu số liệu trên UI)</t>
  </si>
  <si>
    <t>File PDF và PNG tải về đầy đủ thông tin, không bị xô lệch; chức năng Print mở đúng hộp thoại in của trình duyệt.</t>
  </si>
  <si>
    <t>FLY_42</t>
  </si>
  <si>
    <t>Download Invoice dạng PNG/PDF và Print</t>
  </si>
  <si>
    <t>1. Bấm Download invoice (PNG)
2. Bấm Download PDF
3. Bấm Print</t>
  </si>
  <si>
    <t>File PNG/PDF tải về đầy đủ thông tin invoice, không bị xô lệch; chức năng Print mở đúng hộp thoại in của trình duyệt</t>
  </si>
  <si>
    <t>(thực hiện trên invoice bất kỳ)</t>
  </si>
  <si>
    <t>CONFIRM - Thanh toán Pay on Arrival</t>
  </si>
  <si>
    <t>Bấm Ok trên popup: hệ thống hiện đúng message 'YOUR BOOKING STATUS IS RESERVED...' và cập nhật trạng thái.</t>
  </si>
  <si>
    <t>FLY_43</t>
  </si>
  <si>
    <t>Chọn Pay on Arrival và xác nhận Ok</t>
  </si>
  <si>
    <t>1. Bấm PAY ON ARRIVAL
2. Popup xác nhận hiện ra, bấm Ok</t>
  </si>
  <si>
    <t>Đang ở màn hình Confirm, invoice đang UNPAID</t>
  </si>
  <si>
    <t>Hệ thống hiển thị message 'YOUR BOOKING STATUS IS RESERVED...' và cập nhật trạng thái thanh toán tương ứng</t>
  </si>
  <si>
    <t>(thao tác trên invoice bất kỳ)</t>
  </si>
  <si>
    <t>Bấm Cancel: popup đóng lại, trạng thái invoice không đổi (UNPAID).</t>
  </si>
  <si>
    <t>FLY_44</t>
  </si>
  <si>
    <t>Chọn Pay on Arrival và bấm Cancel trên popup</t>
  </si>
  <si>
    <t>1. Bấm PAY ON ARRIVAL
2. Popup xác nhận hiện ra, bấm Cancel</t>
  </si>
  <si>
    <t>Đang ở màn hình Confirm</t>
  </si>
  <si>
    <t>Popup đóng lại, trạng thái invoice không đổi (vẫn là UNPAID)</t>
  </si>
  <si>
    <t>CONFIRM - Thanh toán Pay Now</t>
  </si>
  <si>
    <t>Chọn Bank Transfer: hiển thị đầy đủ thông tin tài khoản ngân hàng công ty.</t>
  </si>
  <si>
    <t>FLY_45</t>
  </si>
  <si>
    <t>Chọn phương thức Bank Transfer</t>
  </si>
  <si>
    <t>1. Bấm PAY NOW
2. Chọn phương thức Bank Transfer</t>
  </si>
  <si>
    <t>Hệ thống hiển thị thông tin tài khoản ngân hàng của công ty để khách chuyển khoản</t>
  </si>
  <si>
    <t>Payment method: Bank Transfer</t>
  </si>
  <si>
    <t>Bỏ trống CVV và bấm thanh toán: hệ thống báo lỗi thiếu thông tin, không cho tiếp tục.</t>
  </si>
  <si>
    <t>FLY_46</t>
  </si>
  <si>
    <t>Nhập thiếu thông tin thẻ khi chọn Credit Card/Visa</t>
  </si>
  <si>
    <t>1. Bấm PAY NOW, chọn Credit Card
2. Bỏ trống 1 trường (ví dụ CVV)
3. Bấm thanh toán</t>
  </si>
  <si>
    <t>Đã chọn phương thức Credit Card</t>
  </si>
  <si>
    <t>Hệ thống báo lỗi thiếu thông tin, không cho thanh toán</t>
  </si>
  <si>
    <t>Số thẻ: đủ, CVV: (trống)</t>
  </si>
  <si>
    <t>Nhập số thẻ 12 chữ số: hệ thống báo lỗi số thẻ không hợp lệ.</t>
  </si>
  <si>
    <t>FLY_47</t>
  </si>
  <si>
    <t>Nhập Số thẻ không đủ 16 chữ số</t>
  </si>
  <si>
    <t>1. Chọn Credit Card
2. Nhập Số thẻ chỉ 12 chữ số</t>
  </si>
  <si>
    <t>Hệ thống báo lỗi số thẻ không hợp lệ</t>
  </si>
  <si>
    <t>Số thẻ: '123456789012'</t>
  </si>
  <si>
    <t>Nhập CVV 2 chữ số: hệ thống báo lỗi CVV không hợp lệ.</t>
  </si>
  <si>
    <t>FLY_48</t>
  </si>
  <si>
    <t>Nhập CVV không đủ 3 chữ số</t>
  </si>
  <si>
    <t>1. Chọn Credit Card
2. Nhập CVV chỉ 2 chữ số</t>
  </si>
  <si>
    <t>Hệ thống báo lỗi CVV không hợp lệ</t>
  </si>
  <si>
    <t>CVV: '12'</t>
  </si>
  <si>
    <t>Nhập tháng/năm hết hạn 01/2020 (đã quá hạn): hệ thống VẪN CHO thanh toán tiếp tục mà không báo lỗi 'thẻ đã hết hạn'.</t>
  </si>
  <si>
    <t>FLY_49</t>
  </si>
  <si>
    <t>Nhập tháng/năm hết hạn thẻ đã quá hạn</t>
  </si>
  <si>
    <t>1. Chọn Credit Card
2. Nhập tháng/năm hết hạn trước tháng/năm hiện tại</t>
  </si>
  <si>
    <t>Hệ thống báo lỗi thẻ đã hết hạn</t>
  </si>
  <si>
    <t>Tháng/năm hết hạn: 01/2020</t>
  </si>
  <si>
    <t>Thanh toán thành công với thẻ hợp lệ: hiển thị đúng message 'Invoice [số] is paid successfully', trạng thái chuyển UNPAID -&gt; PAID.</t>
  </si>
  <si>
    <t>FLY_50</t>
  </si>
  <si>
    <t>Thanh toán thành công với thông tin thẻ hợp lệ</t>
  </si>
  <si>
    <t>1. Chọn Credit Card
2. Nhập đầy đủ thông tin hợp lệ
3. Bấm PAY NOW</t>
  </si>
  <si>
    <t>Đã nhập đầy đủ thông tin thẻ hợp lệ</t>
  </si>
  <si>
    <t>Hệ thống hiển thị message 'Invoice [invoice_number] is paid successfully' và cập nhật trạng thái UNPAID -&gt; PAID</t>
  </si>
  <si>
    <t>Thẻ hợp lệ, còn hạn, đủ 16 số, CVV 3 số</t>
  </si>
  <si>
    <t>Bấm Pay: hệ thống redirect đúng sang trang thanh toán của Paypal (sandbox).</t>
  </si>
  <si>
    <t>FLY_51</t>
  </si>
  <si>
    <t>Chọn Paypal chuyển hướng sang trang thanh toán đối tác</t>
  </si>
  <si>
    <t>1. Bấm PAY NOW
2. Chọn phương thức Paypal
3. Bấm nút Pay</t>
  </si>
  <si>
    <t>Hệ thống redirect người dùng sang trang thanh toán của Paypal</t>
  </si>
  <si>
    <t>Payment method: Paypal</t>
  </si>
  <si>
    <t>SUMMARY</t>
  </si>
  <si>
    <t>Module code</t>
  </si>
  <si>
    <t>Number of  test cases</t>
  </si>
  <si>
    <t>Sub total</t>
  </si>
  <si>
    <t>Test coverage</t>
  </si>
  <si>
    <t>%</t>
  </si>
  <si>
    <t>Test successful coverage</t>
  </si>
  <si>
    <t>FlyBookingTestCase!A1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</si>
</sst>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7" x14ac:knownFonts="1">
    <font>
      <sz val="10"/>
      <color rgb="FF000000"/>
      <name val="Arial"/>
      <charset val="1"/>
    </font>
    <font>
      <u/>
      <sz val="10"/>
      <color theme="10"/>
      <name val="Arial"/>
      <family val="2"/>
    </font>
    <font>
      <sz val="13"/>
      <color theme="1"/>
      <name val="Times New Roman"/>
      <family val="1"/>
    </font>
    <font>
      <sz val="13"/>
      <color rgb="FF000000"/>
      <name val="Times New Roman"/>
      <family val="1"/>
    </font>
    <font>
      <b/>
      <sz val="13"/>
      <color theme="0"/>
      <name val="Times New Roman"/>
      <family val="1"/>
    </font>
    <font>
      <b/>
      <sz val="13"/>
      <color rgb="FF993300"/>
      <name val="Times New Roman"/>
      <family val="1"/>
    </font>
    <font>
      <i/>
      <sz val="13"/>
      <color rgb="FF008000"/>
      <name val="Times New Roman"/>
      <family val="1"/>
    </font>
    <font>
      <b/>
      <sz val="13"/>
      <color theme="5"/>
      <name val="Times New Roman"/>
      <family val="1"/>
    </font>
    <font>
      <b/>
      <sz val="13"/>
      <color rgb="FFFFFFFF"/>
      <name val="Times New Roman"/>
      <family val="1"/>
    </font>
    <font>
      <sz val="13"/>
      <name val="Times New Roman"/>
      <family val="1"/>
    </font>
    <font>
      <u/>
      <sz val="13"/>
      <color theme="10"/>
      <name val="Times New Roman"/>
      <family val="1"/>
    </font>
    <font>
      <u/>
      <sz val="13"/>
      <color rgb="FF0000FF"/>
      <name val="Times New Roman"/>
      <family val="1"/>
    </font>
    <font>
      <b/>
      <sz val="13"/>
      <color rgb="FF000000"/>
      <name val="Times New Roman"/>
      <family val="1"/>
    </font>
    <font>
      <b/>
      <sz val="13"/>
      <name val="Times New Roman"/>
      <family val="1"/>
    </font>
    <font>
      <b/>
      <sz val="13"/>
      <color theme="1"/>
      <name val="Times New Roman"/>
      <family val="1"/>
    </font>
    <font>
      <sz val="13"/>
      <color rgb="FF008000"/>
      <name val="Times New Roman"/>
      <family val="1"/>
    </font>
    <font>
      <b/>
      <sz val="13"/>
      <color rgb="FF0000FF"/>
      <name val="Times New Roman"/>
      <family val="1"/>
    </font>
  </fonts>
  <fills count="7">
    <fill>
      <patternFill patternType="none"/>
    </fill>
    <fill>
      <patternFill patternType="gray125"/>
    </fill>
    <fill>
      <patternFill patternType="solid">
        <fgColor rgb="FFFFFFFF"/>
        <bgColor rgb="FFFFFFCC"/>
      </patternFill>
    </fill>
    <fill>
      <patternFill patternType="solid">
        <fgColor rgb="FF6D9EEB"/>
        <bgColor rgb="FF969696"/>
      </patternFill>
    </fill>
    <fill>
      <patternFill patternType="solid">
        <fgColor rgb="FF3C78D8"/>
        <bgColor rgb="FF666699"/>
      </patternFill>
    </fill>
    <fill>
      <patternFill patternType="solid">
        <fgColor rgb="FF6AA84F"/>
        <bgColor rgb="FF969696"/>
      </patternFill>
    </fill>
    <fill>
      <patternFill patternType="solid">
        <fgColor rgb="FF33CCCC"/>
        <bgColor rgb="FF00CCFF"/>
      </patternFill>
    </fill>
  </fills>
  <borders count="35">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thin">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diagonal/>
    </border>
    <border>
      <left/>
      <right/>
      <top style="medium">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medium">
        <color auto="1"/>
      </left>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style="thin">
        <color auto="1"/>
      </bottom>
      <diagonal/>
    </border>
    <border>
      <left/>
      <right style="medium">
        <color auto="1"/>
      </right>
      <top/>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thin">
        <color auto="1"/>
      </bottom>
      <diagonal/>
    </border>
  </borders>
  <cellStyleXfs count="2">
    <xf numFmtId="0" fontId="0" fillId="0" borderId="0"/>
    <xf numFmtId="0" fontId="1" fillId="0" borderId="0" applyNumberFormat="0" applyFill="0" applyBorder="0" applyAlignment="0" applyProtection="0"/>
  </cellStyleXfs>
  <cellXfs count="121">
    <xf numFmtId="0" fontId="0" fillId="0" borderId="0" xfId="0"/>
    <xf numFmtId="0" fontId="2" fillId="0" borderId="0" xfId="0" applyFont="1" applyAlignment="1">
      <alignment wrapText="1"/>
    </xf>
    <xf numFmtId="0" fontId="2" fillId="0" borderId="0" xfId="0" applyFont="1" applyAlignment="1">
      <alignment horizontal="left" wrapText="1"/>
    </xf>
    <xf numFmtId="0" fontId="3" fillId="0" borderId="0" xfId="0" applyFont="1" applyAlignment="1">
      <alignment wrapText="1"/>
    </xf>
    <xf numFmtId="0" fontId="2" fillId="2" borderId="0" xfId="0" applyFont="1" applyFill="1" applyAlignment="1">
      <alignment wrapText="1"/>
    </xf>
    <xf numFmtId="0" fontId="4" fillId="3" borderId="1"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5" fillId="2" borderId="0" xfId="0" applyFont="1" applyFill="1" applyAlignment="1">
      <alignment horizontal="left" wrapText="1"/>
    </xf>
    <xf numFmtId="0" fontId="6" fillId="0" borderId="0" xfId="0" applyFont="1" applyAlignment="1">
      <alignment horizontal="left" wrapText="1"/>
    </xf>
    <xf numFmtId="0" fontId="7" fillId="2" borderId="2" xfId="0" applyFont="1" applyFill="1" applyBorder="1" applyAlignment="1">
      <alignment horizontal="left" wrapText="1"/>
    </xf>
    <xf numFmtId="0" fontId="6" fillId="0" borderId="2" xfId="0" applyFont="1" applyBorder="1" applyAlignment="1">
      <alignment horizontal="left" wrapText="1"/>
    </xf>
    <xf numFmtId="0" fontId="2" fillId="0" borderId="3" xfId="0" applyFont="1" applyBorder="1" applyAlignment="1">
      <alignment wrapText="1"/>
    </xf>
    <xf numFmtId="0" fontId="7" fillId="2" borderId="2" xfId="0" applyFont="1" applyFill="1" applyBorder="1" applyAlignment="1">
      <alignment horizontal="left" vertical="center" wrapText="1"/>
    </xf>
    <xf numFmtId="0" fontId="6" fillId="0" borderId="2" xfId="0" applyFont="1" applyBorder="1" applyAlignment="1">
      <alignment horizontal="left" vertical="center" wrapText="1"/>
    </xf>
    <xf numFmtId="0" fontId="6" fillId="0" borderId="3" xfId="0" applyFont="1" applyBorder="1" applyAlignment="1">
      <alignment horizontal="left" wrapText="1"/>
    </xf>
    <xf numFmtId="0" fontId="7" fillId="0" borderId="0" xfId="0" applyFont="1" applyAlignment="1">
      <alignment wrapText="1"/>
    </xf>
    <xf numFmtId="164" fontId="8" fillId="4" borderId="4" xfId="0" applyNumberFormat="1" applyFont="1" applyFill="1" applyBorder="1" applyAlignment="1">
      <alignment horizontal="center" vertical="center" wrapText="1"/>
    </xf>
    <xf numFmtId="164" fontId="8" fillId="4" borderId="5" xfId="0" applyNumberFormat="1" applyFont="1" applyFill="1" applyBorder="1" applyAlignment="1">
      <alignment horizontal="center" vertical="center" wrapText="1"/>
    </xf>
    <xf numFmtId="1" fontId="2" fillId="2" borderId="6" xfId="0" applyNumberFormat="1" applyFont="1" applyFill="1" applyBorder="1" applyAlignment="1">
      <alignment horizontal="center" vertical="center" wrapText="1"/>
    </xf>
    <xf numFmtId="49" fontId="9" fillId="2" borderId="7" xfId="0" applyNumberFormat="1" applyFont="1" applyFill="1" applyBorder="1" applyAlignment="1">
      <alignment horizontal="left" vertical="center" wrapText="1"/>
    </xf>
    <xf numFmtId="0" fontId="10" fillId="2" borderId="7" xfId="1" applyFont="1" applyFill="1" applyBorder="1" applyAlignment="1">
      <alignment horizontal="left" vertical="center" wrapText="1"/>
    </xf>
    <xf numFmtId="49" fontId="2" fillId="0" borderId="7" xfId="0" applyNumberFormat="1" applyFont="1" applyBorder="1" applyAlignment="1">
      <alignment horizontal="center" vertical="center" wrapText="1"/>
    </xf>
    <xf numFmtId="0" fontId="2" fillId="0" borderId="7" xfId="0" applyFont="1" applyBorder="1" applyAlignment="1">
      <alignment horizontal="center" vertical="center" wrapText="1"/>
    </xf>
    <xf numFmtId="15" fontId="2" fillId="0" borderId="7" xfId="0" applyNumberFormat="1" applyFont="1" applyBorder="1" applyAlignment="1">
      <alignment horizontal="left" vertical="center" wrapText="1"/>
    </xf>
    <xf numFmtId="0" fontId="10" fillId="0" borderId="8" xfId="1" applyFont="1" applyBorder="1" applyAlignment="1">
      <alignment vertical="top" wrapText="1"/>
    </xf>
    <xf numFmtId="0" fontId="11" fillId="2" borderId="7" xfId="0" applyFont="1" applyFill="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49" fontId="2" fillId="2" borderId="7" xfId="0" applyNumberFormat="1" applyFont="1" applyFill="1" applyBorder="1" applyAlignment="1">
      <alignment horizontal="lef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49" fontId="2" fillId="0" borderId="7" xfId="0" applyNumberFormat="1" applyFont="1" applyBorder="1" applyAlignment="1">
      <alignment vertical="center" wrapText="1"/>
    </xf>
    <xf numFmtId="0" fontId="2" fillId="0" borderId="0" xfId="0" applyFont="1" applyAlignment="1">
      <alignment vertical="center" wrapText="1"/>
    </xf>
    <xf numFmtId="164" fontId="2" fillId="0" borderId="6" xfId="0" applyNumberFormat="1" applyFont="1" applyBorder="1" applyAlignment="1">
      <alignment horizontal="center" vertical="center" wrapText="1"/>
    </xf>
    <xf numFmtId="164" fontId="2" fillId="0" borderId="9" xfId="0" applyNumberFormat="1" applyFont="1" applyBorder="1" applyAlignment="1">
      <alignment vertical="center" wrapText="1"/>
    </xf>
    <xf numFmtId="49" fontId="2" fillId="0" borderId="10" xfId="0" applyNumberFormat="1" applyFont="1" applyBorder="1" applyAlignment="1">
      <alignment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0" fontId="3" fillId="2" borderId="0" xfId="0" applyFont="1" applyFill="1"/>
    <xf numFmtId="0" fontId="3" fillId="2" borderId="0" xfId="0" applyFont="1" applyFill="1" applyAlignment="1">
      <alignment wrapText="1"/>
    </xf>
    <xf numFmtId="0" fontId="3" fillId="0" borderId="0" xfId="0" applyFont="1"/>
    <xf numFmtId="0" fontId="6" fillId="2" borderId="2" xfId="0" applyFont="1" applyFill="1" applyBorder="1" applyAlignment="1">
      <alignment wrapText="1"/>
    </xf>
    <xf numFmtId="0" fontId="6" fillId="2" borderId="0" xfId="0" applyFont="1" applyFill="1" applyAlignment="1">
      <alignment wrapText="1"/>
    </xf>
    <xf numFmtId="0" fontId="6" fillId="2" borderId="2" xfId="0" applyFont="1" applyFill="1" applyBorder="1" applyAlignment="1">
      <alignment horizontal="left"/>
    </xf>
    <xf numFmtId="0" fontId="12" fillId="2" borderId="2" xfId="0" applyFont="1" applyFill="1" applyBorder="1" applyAlignment="1">
      <alignment horizontal="center" vertical="center"/>
    </xf>
    <xf numFmtId="0" fontId="12" fillId="2" borderId="2" xfId="0" applyFont="1" applyFill="1" applyBorder="1" applyAlignment="1">
      <alignment horizontal="center" vertical="center" wrapText="1"/>
    </xf>
    <xf numFmtId="0" fontId="12" fillId="2" borderId="2" xfId="0" applyFont="1" applyFill="1" applyBorder="1" applyAlignment="1">
      <alignment vertical="center" wrapText="1"/>
    </xf>
    <xf numFmtId="0" fontId="12" fillId="2" borderId="0" xfId="0" applyFont="1" applyFill="1" applyAlignment="1">
      <alignment vertical="center" wrapText="1"/>
    </xf>
    <xf numFmtId="0" fontId="12" fillId="2" borderId="12" xfId="0" applyFont="1" applyFill="1" applyBorder="1" applyAlignment="1">
      <alignment vertical="center" wrapText="1"/>
    </xf>
    <xf numFmtId="0" fontId="12" fillId="2" borderId="0" xfId="0" applyFont="1" applyFill="1"/>
    <xf numFmtId="0" fontId="7"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0" xfId="0" applyFont="1" applyFill="1" applyAlignment="1">
      <alignment vertical="center" wrapText="1"/>
    </xf>
    <xf numFmtId="0" fontId="3" fillId="2" borderId="13" xfId="0" applyFont="1" applyFill="1" applyBorder="1" applyAlignment="1">
      <alignment vertical="center" wrapText="1"/>
    </xf>
    <xf numFmtId="0" fontId="3" fillId="2" borderId="0" xfId="0" applyFont="1" applyFill="1" applyAlignment="1">
      <alignment horizontal="center" vertical="center" wrapText="1"/>
    </xf>
    <xf numFmtId="0" fontId="3" fillId="2" borderId="2" xfId="0" applyFont="1" applyFill="1" applyBorder="1" applyAlignment="1">
      <alignment vertical="center"/>
    </xf>
    <xf numFmtId="0" fontId="3" fillId="2" borderId="0" xfId="0" applyFont="1" applyFill="1" applyAlignment="1">
      <alignment vertical="center"/>
    </xf>
    <xf numFmtId="0" fontId="7" fillId="2" borderId="2" xfId="0" applyFont="1" applyFill="1" applyBorder="1"/>
    <xf numFmtId="0" fontId="3" fillId="2" borderId="14" xfId="0" applyFont="1" applyFill="1" applyBorder="1"/>
    <xf numFmtId="0" fontId="3" fillId="2" borderId="14" xfId="0" applyFont="1" applyFill="1" applyBorder="1" applyAlignment="1">
      <alignment horizontal="center" wrapText="1"/>
    </xf>
    <xf numFmtId="0" fontId="3" fillId="2" borderId="15" xfId="0" applyFont="1" applyFill="1" applyBorder="1" applyAlignment="1">
      <alignment horizontal="center" wrapText="1"/>
    </xf>
    <xf numFmtId="0" fontId="3" fillId="2" borderId="0" xfId="0" applyFont="1" applyFill="1" applyAlignment="1">
      <alignment horizontal="center" wrapText="1"/>
    </xf>
    <xf numFmtId="0" fontId="3" fillId="2" borderId="1" xfId="0" applyFont="1" applyFill="1" applyBorder="1"/>
    <xf numFmtId="0" fontId="3" fillId="2" borderId="16" xfId="0" applyFont="1" applyFill="1" applyBorder="1"/>
    <xf numFmtId="0" fontId="3" fillId="2" borderId="16" xfId="0" applyFont="1" applyFill="1" applyBorder="1" applyAlignment="1">
      <alignment horizontal="center" wrapText="1"/>
    </xf>
    <xf numFmtId="0" fontId="3" fillId="2" borderId="3" xfId="0" applyFont="1" applyFill="1" applyBorder="1" applyAlignment="1">
      <alignment horizontal="center" wrapText="1"/>
    </xf>
    <xf numFmtId="0" fontId="4" fillId="4" borderId="17" xfId="0" applyFont="1" applyFill="1" applyBorder="1" applyAlignment="1">
      <alignment horizontal="center" vertical="center" wrapText="1"/>
    </xf>
    <xf numFmtId="0" fontId="4" fillId="4" borderId="18" xfId="0" applyFont="1" applyFill="1" applyBorder="1" applyAlignment="1">
      <alignment horizontal="center" vertical="center" wrapText="1"/>
    </xf>
    <xf numFmtId="0" fontId="4" fillId="4" borderId="19" xfId="0" applyFont="1" applyFill="1" applyBorder="1" applyAlignment="1">
      <alignment horizontal="center" vertical="center" wrapText="1"/>
    </xf>
    <xf numFmtId="0" fontId="4" fillId="4" borderId="20" xfId="0" applyFont="1" applyFill="1" applyBorder="1" applyAlignment="1">
      <alignment vertical="center" wrapText="1"/>
    </xf>
    <xf numFmtId="0" fontId="4" fillId="4" borderId="21" xfId="0" applyFont="1" applyFill="1" applyBorder="1" applyAlignment="1">
      <alignment vertical="center" wrapText="1"/>
    </xf>
    <xf numFmtId="0" fontId="4" fillId="4" borderId="2" xfId="0" applyFont="1" applyFill="1" applyBorder="1" applyAlignment="1">
      <alignment horizontal="center" vertical="center" wrapText="1"/>
    </xf>
    <xf numFmtId="0" fontId="9" fillId="2" borderId="0" xfId="0" applyFont="1" applyFill="1"/>
    <xf numFmtId="0" fontId="2" fillId="2" borderId="0" xfId="0" applyFont="1" applyFill="1"/>
    <xf numFmtId="0" fontId="4" fillId="4" borderId="22" xfId="0" applyFont="1" applyFill="1" applyBorder="1" applyAlignment="1">
      <alignment vertical="center" wrapText="1"/>
    </xf>
    <xf numFmtId="0" fontId="4" fillId="4" borderId="0" xfId="0" applyFont="1" applyFill="1" applyAlignment="1">
      <alignment vertical="center" wrapText="1"/>
    </xf>
    <xf numFmtId="0" fontId="4" fillId="4" borderId="23" xfId="0" applyFont="1" applyFill="1" applyBorder="1" applyAlignment="1">
      <alignment vertical="center" wrapText="1"/>
    </xf>
    <xf numFmtId="0" fontId="9" fillId="4" borderId="0" xfId="0" applyFont="1" applyFill="1"/>
    <xf numFmtId="0" fontId="4" fillId="4" borderId="2" xfId="0" applyFont="1" applyFill="1" applyBorder="1" applyAlignment="1">
      <alignment vertical="center" wrapText="1"/>
    </xf>
    <xf numFmtId="0" fontId="9" fillId="4" borderId="2" xfId="0" applyFont="1" applyFill="1" applyBorder="1"/>
    <xf numFmtId="0" fontId="4" fillId="4" borderId="24" xfId="0" applyFont="1" applyFill="1" applyBorder="1" applyAlignment="1">
      <alignment vertical="center" wrapText="1"/>
    </xf>
    <xf numFmtId="0" fontId="4" fillId="4" borderId="25" xfId="0" applyFont="1" applyFill="1" applyBorder="1" applyAlignment="1">
      <alignment vertical="center" wrapText="1"/>
    </xf>
    <xf numFmtId="0" fontId="13" fillId="5" borderId="26" xfId="0" applyFont="1" applyFill="1" applyBorder="1" applyAlignment="1">
      <alignment horizontal="left" vertical="center"/>
    </xf>
    <xf numFmtId="0" fontId="13" fillId="5" borderId="1" xfId="0" applyFont="1" applyFill="1" applyBorder="1" applyAlignment="1">
      <alignment horizontal="left" vertical="center"/>
    </xf>
    <xf numFmtId="0" fontId="13" fillId="5" borderId="25" xfId="0" applyFont="1" applyFill="1" applyBorder="1" applyAlignment="1">
      <alignment horizontal="left" vertical="center"/>
    </xf>
    <xf numFmtId="0" fontId="3" fillId="5" borderId="0" xfId="0" applyFont="1" applyFill="1"/>
    <xf numFmtId="0" fontId="14" fillId="5" borderId="0" xfId="0" applyFont="1" applyFill="1" applyAlignment="1">
      <alignment horizontal="center" vertical="center"/>
    </xf>
    <xf numFmtId="0" fontId="2" fillId="2" borderId="27" xfId="0" applyFont="1" applyFill="1" applyBorder="1" applyAlignment="1">
      <alignment vertical="top" wrapText="1"/>
    </xf>
    <xf numFmtId="0" fontId="2" fillId="2" borderId="2" xfId="0" applyFont="1" applyFill="1" applyBorder="1" applyAlignment="1">
      <alignment vertical="top" wrapText="1"/>
    </xf>
    <xf numFmtId="0" fontId="6" fillId="2" borderId="2" xfId="0" applyFont="1" applyFill="1" applyBorder="1" applyAlignment="1">
      <alignment horizontal="left" vertical="top" wrapText="1"/>
    </xf>
    <xf numFmtId="0" fontId="2" fillId="2" borderId="2" xfId="0" applyFont="1" applyFill="1" applyBorder="1" applyAlignment="1">
      <alignment horizontal="left" vertical="top" wrapText="1"/>
    </xf>
    <xf numFmtId="0" fontId="15" fillId="2" borderId="2" xfId="0" applyFont="1" applyFill="1" applyBorder="1" applyAlignment="1">
      <alignment horizontal="left" vertical="top" wrapText="1"/>
    </xf>
    <xf numFmtId="0" fontId="3" fillId="2" borderId="0" xfId="0" applyFont="1" applyFill="1" applyAlignment="1">
      <alignment vertical="top"/>
    </xf>
    <xf numFmtId="0" fontId="2" fillId="2" borderId="2" xfId="0" applyFont="1" applyFill="1" applyBorder="1" applyAlignment="1">
      <alignment horizontal="center" vertical="center" wrapText="1"/>
    </xf>
    <xf numFmtId="14" fontId="2" fillId="2" borderId="28" xfId="0" applyNumberFormat="1" applyFont="1" applyFill="1" applyBorder="1" applyAlignment="1">
      <alignment horizontal="center" vertical="center" wrapText="1"/>
    </xf>
    <xf numFmtId="0" fontId="3" fillId="2" borderId="2" xfId="0" applyFont="1" applyFill="1" applyBorder="1" applyAlignment="1">
      <alignment horizontal="left" vertical="top" wrapText="1"/>
    </xf>
    <xf numFmtId="0" fontId="6" fillId="2" borderId="28" xfId="0" applyFont="1" applyFill="1" applyBorder="1" applyAlignment="1">
      <alignment horizontal="left" vertical="top" wrapText="1"/>
    </xf>
    <xf numFmtId="0" fontId="3" fillId="2" borderId="29" xfId="0" applyFont="1" applyFill="1" applyBorder="1" applyAlignment="1">
      <alignment vertical="top"/>
    </xf>
    <xf numFmtId="0" fontId="2" fillId="2" borderId="28" xfId="0" applyFont="1" applyFill="1" applyBorder="1" applyAlignment="1">
      <alignment horizontal="center" vertical="center" wrapText="1"/>
    </xf>
    <xf numFmtId="0" fontId="14" fillId="5" borderId="0" xfId="0" applyFont="1" applyFill="1" applyAlignment="1">
      <alignment horizontal="center" vertical="center"/>
    </xf>
    <xf numFmtId="0" fontId="12" fillId="2" borderId="0" xfId="0" applyFont="1" applyFill="1" applyAlignment="1">
      <alignment horizontal="center"/>
    </xf>
    <xf numFmtId="0" fontId="5" fillId="2" borderId="0" xfId="0" applyFont="1" applyFill="1"/>
    <xf numFmtId="0" fontId="6" fillId="2" borderId="0" xfId="0" applyFont="1" applyFill="1"/>
    <xf numFmtId="15" fontId="2" fillId="2" borderId="0" xfId="0" applyNumberFormat="1" applyFont="1" applyFill="1"/>
    <xf numFmtId="0" fontId="2" fillId="2" borderId="30" xfId="0" applyFont="1" applyFill="1" applyBorder="1"/>
    <xf numFmtId="164" fontId="8" fillId="6" borderId="4" xfId="0" applyNumberFormat="1" applyFont="1" applyFill="1" applyBorder="1" applyAlignment="1">
      <alignment horizontal="center" vertical="center"/>
    </xf>
    <xf numFmtId="164" fontId="8" fillId="6" borderId="5" xfId="0" applyNumberFormat="1" applyFont="1" applyFill="1" applyBorder="1" applyAlignment="1">
      <alignment horizontal="center" vertical="center"/>
    </xf>
    <xf numFmtId="0" fontId="2" fillId="2" borderId="31" xfId="0" applyFont="1" applyFill="1" applyBorder="1" applyAlignment="1">
      <alignment horizontal="center"/>
    </xf>
    <xf numFmtId="0" fontId="2" fillId="2" borderId="7" xfId="0" applyFont="1" applyFill="1" applyBorder="1"/>
    <xf numFmtId="0" fontId="2" fillId="2" borderId="7" xfId="0" applyFont="1" applyFill="1" applyBorder="1" applyAlignment="1">
      <alignment horizontal="center"/>
    </xf>
    <xf numFmtId="0" fontId="2" fillId="2" borderId="32" xfId="0" applyFont="1" applyFill="1" applyBorder="1" applyAlignment="1">
      <alignment horizontal="center"/>
    </xf>
    <xf numFmtId="0" fontId="2" fillId="2" borderId="33" xfId="0" applyFont="1" applyFill="1" applyBorder="1" applyAlignment="1">
      <alignment horizontal="center"/>
    </xf>
    <xf numFmtId="0" fontId="8" fillId="6" borderId="10" xfId="0" applyFont="1" applyFill="1" applyBorder="1" applyAlignment="1">
      <alignment horizontal="center"/>
    </xf>
    <xf numFmtId="0" fontId="8" fillId="6" borderId="34" xfId="0" applyFont="1" applyFill="1" applyBorder="1" applyAlignment="1">
      <alignment horizontal="center"/>
    </xf>
    <xf numFmtId="0" fontId="2" fillId="2" borderId="0" xfId="0" applyFont="1" applyFill="1" applyAlignment="1">
      <alignment horizontal="center"/>
    </xf>
    <xf numFmtId="10" fontId="2" fillId="2" borderId="0" xfId="0" applyNumberFormat="1" applyFont="1" applyFill="1" applyAlignment="1">
      <alignment horizontal="center"/>
    </xf>
    <xf numFmtId="9" fontId="2" fillId="2" borderId="0" xfId="0" applyNumberFormat="1" applyFont="1" applyFill="1" applyAlignment="1">
      <alignment horizontal="center"/>
    </xf>
    <xf numFmtId="0" fontId="5" fillId="2" borderId="0" xfId="0" applyFont="1" applyFill="1" applyAlignment="1">
      <alignment horizontal="left"/>
    </xf>
    <xf numFmtId="2" fontId="16" fillId="2" borderId="0" xfId="0" applyNumberFormat="1" applyFont="1" applyFill="1" applyAlignment="1">
      <alignment horizontal="right"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6D9EEB"/>
      <rgbColor rgb="FFC0504D"/>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C78D8"/>
      <rgbColor rgb="FF33CCCC"/>
      <rgbColor rgb="FF99CC00"/>
      <rgbColor rgb="FFFFCC00"/>
      <rgbColor rgb="FFFF9900"/>
      <rgbColor rgb="FFFF6600"/>
      <rgbColor rgb="FF666699"/>
      <rgbColor rgb="FF969696"/>
      <rgbColor rgb="FF003366"/>
      <rgbColor rgb="FF6AA84F"/>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ly_Booking_Requirements_V6.do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FF"/>
  </sheetPr>
  <dimension ref="A1:H1000"/>
  <sheetViews>
    <sheetView tabSelected="1" zoomScaleNormal="100" workbookViewId="0">
      <selection activeCell="H5" sqref="H5"/>
    </sheetView>
  </sheetViews>
  <sheetFormatPr defaultColWidth="14.453125" defaultRowHeight="16.5" x14ac:dyDescent="0.35"/>
  <cols>
    <col min="1" max="1" width="16.7265625" style="3" customWidth="1"/>
    <col min="2" max="2" width="21" style="3" customWidth="1"/>
    <col min="3" max="3" width="17.81640625" style="3" customWidth="1"/>
    <col min="4" max="4" width="15.54296875" style="3" customWidth="1"/>
    <col min="5" max="5" width="17.81640625" style="3" customWidth="1"/>
    <col min="6" max="6" width="21" style="3" customWidth="1"/>
    <col min="7" max="7" width="16.26953125" style="3" customWidth="1"/>
    <col min="8" max="8" width="16.08984375" style="3" customWidth="1"/>
    <col min="9" max="26" width="8" style="3" customWidth="1"/>
    <col min="27" max="16384" width="14.453125" style="3"/>
  </cols>
  <sheetData>
    <row r="1" spans="1:8" ht="14.25" customHeight="1" x14ac:dyDescent="0.35">
      <c r="A1" s="1"/>
      <c r="B1" s="2"/>
      <c r="C1" s="1"/>
      <c r="D1" s="1"/>
      <c r="E1" s="1"/>
      <c r="F1" s="1"/>
      <c r="G1" s="1"/>
    </row>
    <row r="2" spans="1:8" ht="72.75" customHeight="1" x14ac:dyDescent="0.35">
      <c r="A2" s="4"/>
      <c r="B2" s="5" t="s">
        <v>0</v>
      </c>
      <c r="C2" s="6"/>
      <c r="D2" s="6"/>
      <c r="E2" s="6"/>
      <c r="F2" s="6"/>
      <c r="G2" s="7"/>
    </row>
    <row r="3" spans="1:8" ht="14.25" customHeight="1" x14ac:dyDescent="0.35">
      <c r="A3" s="4"/>
      <c r="B3" s="8"/>
      <c r="C3" s="9"/>
      <c r="D3" s="1"/>
      <c r="E3" s="1"/>
      <c r="F3" s="4"/>
      <c r="G3" s="1"/>
    </row>
    <row r="4" spans="1:8" ht="14.25" customHeight="1" x14ac:dyDescent="0.35">
      <c r="A4" s="4" t="s">
        <v>1</v>
      </c>
      <c r="B4" s="10" t="s">
        <v>2</v>
      </c>
      <c r="C4" s="11" t="s">
        <v>3</v>
      </c>
      <c r="D4" s="11"/>
      <c r="E4" s="11"/>
      <c r="F4" s="10" t="s">
        <v>4</v>
      </c>
      <c r="G4" s="12"/>
    </row>
    <row r="5" spans="1:8" ht="14.25" customHeight="1" x14ac:dyDescent="0.35">
      <c r="A5" s="4"/>
      <c r="B5" s="10" t="s">
        <v>5</v>
      </c>
      <c r="C5" s="11" t="s">
        <v>6</v>
      </c>
      <c r="D5" s="11"/>
      <c r="E5" s="11"/>
      <c r="F5" s="10" t="s">
        <v>7</v>
      </c>
      <c r="G5" s="12"/>
    </row>
    <row r="6" spans="1:8" ht="14.25" customHeight="1" x14ac:dyDescent="0.35">
      <c r="A6" s="4"/>
      <c r="B6" s="13" t="s">
        <v>8</v>
      </c>
      <c r="C6" s="14" t="str">
        <f>C5&amp;"_"&amp;"XXX"&amp;"_"&amp;"vx.x"</f>
        <v>FLYBOOKING_XXX_vx.x</v>
      </c>
      <c r="D6" s="14"/>
      <c r="E6" s="14"/>
      <c r="F6" s="10" t="s">
        <v>9</v>
      </c>
      <c r="G6" s="15"/>
    </row>
    <row r="7" spans="1:8" ht="14.25" customHeight="1" x14ac:dyDescent="0.35">
      <c r="A7" s="4"/>
      <c r="B7" s="13"/>
      <c r="C7" s="14"/>
      <c r="D7" s="14"/>
      <c r="E7" s="14"/>
      <c r="F7" s="10" t="s">
        <v>10</v>
      </c>
      <c r="G7" s="15"/>
    </row>
    <row r="8" spans="1:8" ht="14.25" customHeight="1" x14ac:dyDescent="0.35">
      <c r="A8" s="4"/>
      <c r="B8" s="1"/>
      <c r="C8" s="1"/>
      <c r="D8" s="4"/>
      <c r="E8" s="4"/>
      <c r="F8" s="4"/>
      <c r="G8" s="1"/>
    </row>
    <row r="9" spans="1:8" ht="14.25" customHeight="1" x14ac:dyDescent="0.35">
      <c r="A9" s="4"/>
      <c r="B9" s="16" t="s">
        <v>11</v>
      </c>
      <c r="C9" s="1"/>
      <c r="D9" s="1"/>
      <c r="E9" s="1"/>
      <c r="F9" s="1"/>
      <c r="G9" s="1"/>
    </row>
    <row r="10" spans="1:8" ht="14.25" customHeight="1" x14ac:dyDescent="0.35">
      <c r="A10" s="4"/>
      <c r="B10" s="17" t="s">
        <v>12</v>
      </c>
      <c r="C10" s="17" t="s">
        <v>13</v>
      </c>
      <c r="D10" s="17" t="s">
        <v>14</v>
      </c>
      <c r="E10" s="17" t="s">
        <v>15</v>
      </c>
      <c r="F10" s="17" t="s">
        <v>16</v>
      </c>
      <c r="G10" s="17" t="s">
        <v>10</v>
      </c>
      <c r="H10" s="18" t="s">
        <v>17</v>
      </c>
    </row>
    <row r="11" spans="1:8" ht="38.25" customHeight="1" x14ac:dyDescent="0.35">
      <c r="A11" s="4"/>
      <c r="B11" s="19">
        <v>1</v>
      </c>
      <c r="C11" s="20" t="s">
        <v>18</v>
      </c>
      <c r="D11" s="21" t="s">
        <v>382</v>
      </c>
      <c r="E11" s="22"/>
      <c r="F11" s="23"/>
      <c r="G11" s="24"/>
      <c r="H11" s="25" t="s">
        <v>19</v>
      </c>
    </row>
    <row r="12" spans="1:8" ht="14.25" customHeight="1" x14ac:dyDescent="0.35">
      <c r="A12" s="4"/>
      <c r="B12" s="19"/>
      <c r="C12" s="20"/>
      <c r="D12" s="26"/>
      <c r="E12" s="22"/>
      <c r="F12" s="23"/>
      <c r="G12" s="27"/>
      <c r="H12" s="28"/>
    </row>
    <row r="13" spans="1:8" ht="14.25" customHeight="1" x14ac:dyDescent="0.35">
      <c r="A13" s="4"/>
      <c r="B13" s="19"/>
      <c r="C13" s="29"/>
      <c r="D13" s="26"/>
      <c r="E13" s="22"/>
      <c r="F13" s="23"/>
      <c r="G13" s="30"/>
      <c r="H13" s="31"/>
    </row>
    <row r="14" spans="1:8" ht="14.25" customHeight="1" x14ac:dyDescent="0.35">
      <c r="A14" s="4"/>
      <c r="B14" s="19"/>
      <c r="C14" s="29"/>
      <c r="D14" s="26"/>
      <c r="E14" s="22"/>
      <c r="F14" s="23"/>
      <c r="G14" s="30"/>
      <c r="H14" s="31"/>
    </row>
    <row r="15" spans="1:8" ht="14.25" customHeight="1" x14ac:dyDescent="0.35">
      <c r="A15" s="1"/>
      <c r="B15" s="19"/>
      <c r="C15" s="29"/>
      <c r="D15" s="26"/>
      <c r="E15" s="32"/>
      <c r="F15" s="30"/>
      <c r="G15" s="30"/>
      <c r="H15" s="31"/>
    </row>
    <row r="16" spans="1:8" ht="24.75" customHeight="1" x14ac:dyDescent="0.35">
      <c r="A16" s="33"/>
      <c r="B16" s="34"/>
      <c r="C16" s="34"/>
      <c r="D16" s="22"/>
      <c r="E16" s="22"/>
      <c r="F16" s="23"/>
      <c r="G16" s="30"/>
      <c r="H16" s="31"/>
    </row>
    <row r="17" spans="1:8" ht="14.25" customHeight="1" x14ac:dyDescent="0.35">
      <c r="A17" s="33"/>
      <c r="B17" s="35"/>
      <c r="C17" s="35"/>
      <c r="D17" s="36"/>
      <c r="E17" s="36"/>
      <c r="F17" s="37"/>
      <c r="G17" s="37"/>
      <c r="H17" s="38"/>
    </row>
    <row r="18" spans="1:8" ht="14.25" customHeight="1" x14ac:dyDescent="0.35">
      <c r="A18" s="33"/>
    </row>
    <row r="19" spans="1:8" ht="14.25" customHeight="1" x14ac:dyDescent="0.35">
      <c r="A19" s="33"/>
    </row>
    <row r="20" spans="1:8" ht="14.25" customHeight="1" x14ac:dyDescent="0.35">
      <c r="A20" s="33"/>
    </row>
    <row r="21" spans="1:8" ht="14.25" customHeight="1" x14ac:dyDescent="0.35">
      <c r="A21" s="33"/>
    </row>
    <row r="22" spans="1:8" ht="14.25" customHeight="1" x14ac:dyDescent="0.35">
      <c r="A22" s="33"/>
    </row>
    <row r="23" spans="1:8" ht="14.25" customHeight="1" x14ac:dyDescent="0.35">
      <c r="A23" s="33"/>
    </row>
    <row r="24" spans="1:8" ht="14.25" customHeight="1" x14ac:dyDescent="0.35">
      <c r="A24" s="1"/>
      <c r="B24" s="1"/>
      <c r="C24" s="1"/>
      <c r="D24" s="1"/>
      <c r="E24" s="1"/>
      <c r="F24" s="1"/>
      <c r="G24" s="1"/>
    </row>
    <row r="25" spans="1:8" ht="12.75" customHeight="1" x14ac:dyDescent="0.35"/>
    <row r="26" spans="1:8" ht="12.75" customHeight="1" x14ac:dyDescent="0.35"/>
    <row r="27" spans="1:8" ht="12.75" customHeight="1" x14ac:dyDescent="0.35"/>
    <row r="28" spans="1:8" ht="12.75" customHeight="1" x14ac:dyDescent="0.35"/>
    <row r="29" spans="1:8" ht="12.75" customHeight="1" x14ac:dyDescent="0.35"/>
    <row r="30" spans="1:8" ht="12.75" customHeight="1" x14ac:dyDescent="0.35"/>
    <row r="31" spans="1:8" ht="12.75" customHeight="1" x14ac:dyDescent="0.35"/>
    <row r="32" spans="1:8" ht="12.75" customHeight="1" x14ac:dyDescent="0.35"/>
    <row r="33" s="3" customFormat="1" ht="12.75" customHeight="1" x14ac:dyDescent="0.35"/>
    <row r="34" s="3" customFormat="1" ht="12.75" customHeight="1" x14ac:dyDescent="0.35"/>
    <row r="35" s="3" customFormat="1" ht="12.75" customHeight="1" x14ac:dyDescent="0.35"/>
    <row r="36" s="3" customFormat="1" ht="12.75" customHeight="1" x14ac:dyDescent="0.35"/>
    <row r="37" s="3" customFormat="1" ht="12.75" customHeight="1" x14ac:dyDescent="0.35"/>
    <row r="38" s="3" customFormat="1" ht="12.75" customHeight="1" x14ac:dyDescent="0.35"/>
    <row r="39" s="3" customFormat="1" ht="12.75" customHeight="1" x14ac:dyDescent="0.35"/>
    <row r="40" s="3" customFormat="1" ht="12.75" customHeight="1" x14ac:dyDescent="0.35"/>
    <row r="41" s="3" customFormat="1" ht="12.75" customHeight="1" x14ac:dyDescent="0.35"/>
    <row r="42" s="3" customFormat="1" ht="12.75" customHeight="1" x14ac:dyDescent="0.35"/>
    <row r="43" s="3" customFormat="1" ht="12.75" customHeight="1" x14ac:dyDescent="0.35"/>
    <row r="44" s="3" customFormat="1" ht="12.75" customHeight="1" x14ac:dyDescent="0.35"/>
    <row r="45" s="3" customFormat="1" ht="12.75" customHeight="1" x14ac:dyDescent="0.35"/>
    <row r="46" s="3" customFormat="1" ht="12.75" customHeight="1" x14ac:dyDescent="0.35"/>
    <row r="47" s="3" customFormat="1" ht="12.75" customHeight="1" x14ac:dyDescent="0.35"/>
    <row r="48" s="3" customFormat="1" ht="12.75" customHeight="1" x14ac:dyDescent="0.35"/>
    <row r="49" s="3" customFormat="1" ht="12.75" customHeight="1" x14ac:dyDescent="0.35"/>
    <row r="50" s="3" customFormat="1" ht="12.75" customHeight="1" x14ac:dyDescent="0.35"/>
    <row r="51" s="3" customFormat="1" ht="12.75" customHeight="1" x14ac:dyDescent="0.35"/>
    <row r="52" s="3" customFormat="1" ht="12.75" customHeight="1" x14ac:dyDescent="0.35"/>
    <row r="53" s="3" customFormat="1" ht="12.75" customHeight="1" x14ac:dyDescent="0.35"/>
    <row r="54" s="3" customFormat="1" ht="12.75" customHeight="1" x14ac:dyDescent="0.35"/>
    <row r="55" s="3" customFormat="1" ht="12.75" customHeight="1" x14ac:dyDescent="0.35"/>
    <row r="56" s="3" customFormat="1" ht="12.75" customHeight="1" x14ac:dyDescent="0.35"/>
    <row r="57" s="3" customFormat="1" ht="12.75" customHeight="1" x14ac:dyDescent="0.35"/>
    <row r="58" s="3" customFormat="1" ht="12.75" customHeight="1" x14ac:dyDescent="0.35"/>
    <row r="59" s="3" customFormat="1" ht="12.75" customHeight="1" x14ac:dyDescent="0.35"/>
    <row r="60" s="3" customFormat="1" ht="12.75" customHeight="1" x14ac:dyDescent="0.35"/>
    <row r="61" s="3" customFormat="1" ht="12.75" customHeight="1" x14ac:dyDescent="0.35"/>
    <row r="62" s="3" customFormat="1" ht="12.75" customHeight="1" x14ac:dyDescent="0.35"/>
    <row r="63" s="3" customFormat="1" ht="12.75" customHeight="1" x14ac:dyDescent="0.35"/>
    <row r="64" s="3" customFormat="1" ht="12.75" customHeight="1" x14ac:dyDescent="0.35"/>
    <row r="65" s="3" customFormat="1" ht="12.75" customHeight="1" x14ac:dyDescent="0.35"/>
    <row r="66" s="3" customFormat="1" ht="12.75" customHeight="1" x14ac:dyDescent="0.35"/>
    <row r="67" s="3" customFormat="1" ht="12.75" customHeight="1" x14ac:dyDescent="0.35"/>
    <row r="68" s="3" customFormat="1" ht="12.75" customHeight="1" x14ac:dyDescent="0.35"/>
    <row r="69" s="3" customFormat="1" ht="12.75" customHeight="1" x14ac:dyDescent="0.35"/>
    <row r="70" s="3" customFormat="1" ht="12.75" customHeight="1" x14ac:dyDescent="0.35"/>
    <row r="71" s="3" customFormat="1" ht="12.75" customHeight="1" x14ac:dyDescent="0.35"/>
    <row r="72" s="3" customFormat="1" ht="12.75" customHeight="1" x14ac:dyDescent="0.35"/>
    <row r="73" s="3" customFormat="1" ht="12.75" customHeight="1" x14ac:dyDescent="0.35"/>
    <row r="74" s="3" customFormat="1" ht="12.75" customHeight="1" x14ac:dyDescent="0.35"/>
    <row r="75" s="3" customFormat="1" ht="12.75" customHeight="1" x14ac:dyDescent="0.35"/>
    <row r="76" s="3" customFormat="1" ht="12.75" customHeight="1" x14ac:dyDescent="0.35"/>
    <row r="77" s="3" customFormat="1" ht="12.75" customHeight="1" x14ac:dyDescent="0.35"/>
    <row r="78" s="3" customFormat="1" ht="12.75" customHeight="1" x14ac:dyDescent="0.35"/>
    <row r="79" s="3" customFormat="1" ht="12.75" customHeight="1" x14ac:dyDescent="0.35"/>
    <row r="80" s="3" customFormat="1" ht="12.75" customHeight="1" x14ac:dyDescent="0.35"/>
    <row r="81" s="3" customFormat="1" ht="12.75" customHeight="1" x14ac:dyDescent="0.35"/>
    <row r="82" s="3" customFormat="1" ht="12.75" customHeight="1" x14ac:dyDescent="0.35"/>
    <row r="83" s="3" customFormat="1" ht="12.75" customHeight="1" x14ac:dyDescent="0.35"/>
    <row r="84" s="3" customFormat="1" ht="12.75" customHeight="1" x14ac:dyDescent="0.35"/>
    <row r="85" s="3" customFormat="1" ht="12.75" customHeight="1" x14ac:dyDescent="0.35"/>
    <row r="86" s="3" customFormat="1" ht="12.75" customHeight="1" x14ac:dyDescent="0.35"/>
    <row r="87" s="3" customFormat="1" ht="12.75" customHeight="1" x14ac:dyDescent="0.35"/>
    <row r="88" s="3" customFormat="1" ht="12.75" customHeight="1" x14ac:dyDescent="0.35"/>
    <row r="89" s="3" customFormat="1" ht="12.75" customHeight="1" x14ac:dyDescent="0.35"/>
    <row r="90" s="3" customFormat="1" ht="12.75" customHeight="1" x14ac:dyDescent="0.35"/>
    <row r="91" s="3" customFormat="1" ht="12.75" customHeight="1" x14ac:dyDescent="0.35"/>
    <row r="92" s="3" customFormat="1" ht="12.75" customHeight="1" x14ac:dyDescent="0.35"/>
    <row r="93" s="3" customFormat="1" ht="12.75" customHeight="1" x14ac:dyDescent="0.35"/>
    <row r="94" s="3" customFormat="1" ht="12.75" customHeight="1" x14ac:dyDescent="0.35"/>
    <row r="95" s="3" customFormat="1" ht="12.75" customHeight="1" x14ac:dyDescent="0.35"/>
    <row r="96" s="3" customFormat="1" ht="12.75" customHeight="1" x14ac:dyDescent="0.35"/>
    <row r="97" s="3" customFormat="1" ht="12.75" customHeight="1" x14ac:dyDescent="0.35"/>
    <row r="98" s="3" customFormat="1" ht="12.75" customHeight="1" x14ac:dyDescent="0.35"/>
    <row r="99" s="3" customFormat="1" ht="12.75" customHeight="1" x14ac:dyDescent="0.35"/>
    <row r="100" s="3" customFormat="1" ht="12.75" customHeight="1" x14ac:dyDescent="0.35"/>
    <row r="101" s="3" customFormat="1" ht="12.75" customHeight="1" x14ac:dyDescent="0.35"/>
    <row r="102" s="3" customFormat="1" ht="12.75" customHeight="1" x14ac:dyDescent="0.35"/>
    <row r="103" s="3" customFormat="1" ht="12.75" customHeight="1" x14ac:dyDescent="0.35"/>
    <row r="104" s="3" customFormat="1" ht="12.75" customHeight="1" x14ac:dyDescent="0.35"/>
    <row r="105" s="3" customFormat="1" ht="12.75" customHeight="1" x14ac:dyDescent="0.35"/>
    <row r="106" s="3" customFormat="1" ht="12.75" customHeight="1" x14ac:dyDescent="0.35"/>
    <row r="107" s="3" customFormat="1" ht="12.75" customHeight="1" x14ac:dyDescent="0.35"/>
    <row r="108" s="3" customFormat="1" ht="12.75" customHeight="1" x14ac:dyDescent="0.35"/>
    <row r="109" s="3" customFormat="1" ht="12.75" customHeight="1" x14ac:dyDescent="0.35"/>
    <row r="110" s="3" customFormat="1" ht="12.75" customHeight="1" x14ac:dyDescent="0.35"/>
    <row r="111" s="3" customFormat="1" ht="12.75" customHeight="1" x14ac:dyDescent="0.35"/>
    <row r="112" s="3" customFormat="1" ht="12.75" customHeight="1" x14ac:dyDescent="0.35"/>
    <row r="113" s="3" customFormat="1" ht="12.75" customHeight="1" x14ac:dyDescent="0.35"/>
    <row r="114" s="3" customFormat="1" ht="12.75" customHeight="1" x14ac:dyDescent="0.35"/>
    <row r="115" s="3" customFormat="1" ht="12.75" customHeight="1" x14ac:dyDescent="0.35"/>
    <row r="116" s="3" customFormat="1" ht="12.75" customHeight="1" x14ac:dyDescent="0.35"/>
    <row r="117" s="3" customFormat="1" ht="12.75" customHeight="1" x14ac:dyDescent="0.35"/>
    <row r="118" s="3" customFormat="1" ht="12.75" customHeight="1" x14ac:dyDescent="0.35"/>
    <row r="119" s="3" customFormat="1" ht="12.75" customHeight="1" x14ac:dyDescent="0.35"/>
    <row r="120" s="3" customFormat="1" ht="12.75" customHeight="1" x14ac:dyDescent="0.35"/>
    <row r="121" s="3" customFormat="1" ht="12.75" customHeight="1" x14ac:dyDescent="0.35"/>
    <row r="122" s="3" customFormat="1" ht="12.75" customHeight="1" x14ac:dyDescent="0.35"/>
    <row r="123" s="3" customFormat="1" ht="12.75" customHeight="1" x14ac:dyDescent="0.35"/>
    <row r="124" s="3" customFormat="1" ht="12.75" customHeight="1" x14ac:dyDescent="0.35"/>
    <row r="125" s="3" customFormat="1" ht="12.75" customHeight="1" x14ac:dyDescent="0.35"/>
    <row r="126" s="3" customFormat="1" ht="12.75" customHeight="1" x14ac:dyDescent="0.35"/>
    <row r="127" s="3" customFormat="1" ht="12.75" customHeight="1" x14ac:dyDescent="0.35"/>
    <row r="128" s="3" customFormat="1" ht="12.75" customHeight="1" x14ac:dyDescent="0.35"/>
    <row r="129" s="3" customFormat="1" ht="12.75" customHeight="1" x14ac:dyDescent="0.35"/>
    <row r="130" s="3" customFormat="1" ht="12.75" customHeight="1" x14ac:dyDescent="0.35"/>
    <row r="131" s="3" customFormat="1" ht="12.75" customHeight="1" x14ac:dyDescent="0.35"/>
    <row r="132" s="3" customFormat="1" ht="12.75" customHeight="1" x14ac:dyDescent="0.35"/>
    <row r="133" s="3" customFormat="1" ht="12.75" customHeight="1" x14ac:dyDescent="0.35"/>
    <row r="134" s="3" customFormat="1" ht="12.75" customHeight="1" x14ac:dyDescent="0.35"/>
    <row r="135" s="3" customFormat="1" ht="12.75" customHeight="1" x14ac:dyDescent="0.35"/>
    <row r="136" s="3" customFormat="1" ht="12.75" customHeight="1" x14ac:dyDescent="0.35"/>
    <row r="137" s="3" customFormat="1" ht="12.75" customHeight="1" x14ac:dyDescent="0.35"/>
    <row r="138" s="3" customFormat="1" ht="12.75" customHeight="1" x14ac:dyDescent="0.35"/>
    <row r="139" s="3" customFormat="1" ht="12.75" customHeight="1" x14ac:dyDescent="0.35"/>
    <row r="140" s="3" customFormat="1" ht="12.75" customHeight="1" x14ac:dyDescent="0.35"/>
    <row r="141" s="3" customFormat="1" ht="12.75" customHeight="1" x14ac:dyDescent="0.35"/>
    <row r="142" s="3" customFormat="1" ht="12.75" customHeight="1" x14ac:dyDescent="0.35"/>
    <row r="143" s="3" customFormat="1" ht="12.75" customHeight="1" x14ac:dyDescent="0.35"/>
    <row r="144" s="3" customFormat="1" ht="12.75" customHeight="1" x14ac:dyDescent="0.35"/>
    <row r="145" s="3" customFormat="1" ht="12.75" customHeight="1" x14ac:dyDescent="0.35"/>
    <row r="146" s="3" customFormat="1" ht="12.75" customHeight="1" x14ac:dyDescent="0.35"/>
    <row r="147" s="3" customFormat="1" ht="12.75" customHeight="1" x14ac:dyDescent="0.35"/>
    <row r="148" s="3" customFormat="1" ht="12.75" customHeight="1" x14ac:dyDescent="0.35"/>
    <row r="149" s="3" customFormat="1" ht="12.75" customHeight="1" x14ac:dyDescent="0.35"/>
    <row r="150" s="3" customFormat="1" ht="12.75" customHeight="1" x14ac:dyDescent="0.35"/>
    <row r="151" s="3" customFormat="1" ht="12.75" customHeight="1" x14ac:dyDescent="0.35"/>
    <row r="152" s="3" customFormat="1" ht="12.75" customHeight="1" x14ac:dyDescent="0.35"/>
    <row r="153" s="3" customFormat="1" ht="12.75" customHeight="1" x14ac:dyDescent="0.35"/>
    <row r="154" s="3" customFormat="1" ht="12.75" customHeight="1" x14ac:dyDescent="0.35"/>
    <row r="155" s="3" customFormat="1" ht="12.75" customHeight="1" x14ac:dyDescent="0.35"/>
    <row r="156" s="3" customFormat="1" ht="12.75" customHeight="1" x14ac:dyDescent="0.35"/>
    <row r="157" s="3" customFormat="1" ht="12.75" customHeight="1" x14ac:dyDescent="0.35"/>
    <row r="158" s="3" customFormat="1" ht="12.75" customHeight="1" x14ac:dyDescent="0.35"/>
    <row r="159" s="3" customFormat="1" ht="12.75" customHeight="1" x14ac:dyDescent="0.35"/>
    <row r="160" s="3" customFormat="1" ht="12.75" customHeight="1" x14ac:dyDescent="0.35"/>
    <row r="161" s="3" customFormat="1" ht="12.75" customHeight="1" x14ac:dyDescent="0.35"/>
    <row r="162" s="3" customFormat="1" ht="12.75" customHeight="1" x14ac:dyDescent="0.35"/>
    <row r="163" s="3" customFormat="1" ht="12.75" customHeight="1" x14ac:dyDescent="0.35"/>
    <row r="164" s="3" customFormat="1" ht="12.75" customHeight="1" x14ac:dyDescent="0.35"/>
    <row r="165" s="3" customFormat="1" ht="12.75" customHeight="1" x14ac:dyDescent="0.35"/>
    <row r="166" s="3" customFormat="1" ht="12.75" customHeight="1" x14ac:dyDescent="0.35"/>
    <row r="167" s="3" customFormat="1" ht="12.75" customHeight="1" x14ac:dyDescent="0.35"/>
    <row r="168" s="3" customFormat="1" ht="12.75" customHeight="1" x14ac:dyDescent="0.35"/>
    <row r="169" s="3" customFormat="1" ht="12.75" customHeight="1" x14ac:dyDescent="0.35"/>
    <row r="170" s="3" customFormat="1" ht="12.75" customHeight="1" x14ac:dyDescent="0.35"/>
    <row r="171" s="3" customFormat="1" ht="12.75" customHeight="1" x14ac:dyDescent="0.35"/>
    <row r="172" s="3" customFormat="1" ht="12.75" customHeight="1" x14ac:dyDescent="0.35"/>
    <row r="173" s="3" customFormat="1" ht="12.75" customHeight="1" x14ac:dyDescent="0.35"/>
    <row r="174" s="3" customFormat="1" ht="12.75" customHeight="1" x14ac:dyDescent="0.35"/>
    <row r="175" s="3" customFormat="1" ht="12.75" customHeight="1" x14ac:dyDescent="0.35"/>
    <row r="176" s="3" customFormat="1" ht="12.75" customHeight="1" x14ac:dyDescent="0.35"/>
    <row r="177" s="3" customFormat="1" ht="12.75" customHeight="1" x14ac:dyDescent="0.35"/>
    <row r="178" s="3" customFormat="1" ht="12.75" customHeight="1" x14ac:dyDescent="0.35"/>
    <row r="179" s="3" customFormat="1" ht="12.75" customHeight="1" x14ac:dyDescent="0.35"/>
    <row r="180" s="3" customFormat="1" ht="12.75" customHeight="1" x14ac:dyDescent="0.35"/>
    <row r="181" s="3" customFormat="1" ht="12.75" customHeight="1" x14ac:dyDescent="0.35"/>
    <row r="182" s="3" customFormat="1" ht="12.75" customHeight="1" x14ac:dyDescent="0.35"/>
    <row r="183" s="3" customFormat="1" ht="12.75" customHeight="1" x14ac:dyDescent="0.35"/>
    <row r="184" s="3" customFormat="1" ht="12.75" customHeight="1" x14ac:dyDescent="0.35"/>
    <row r="185" s="3" customFormat="1" ht="12.75" customHeight="1" x14ac:dyDescent="0.35"/>
    <row r="186" s="3" customFormat="1" ht="12.75" customHeight="1" x14ac:dyDescent="0.35"/>
    <row r="187" s="3" customFormat="1" ht="12.75" customHeight="1" x14ac:dyDescent="0.35"/>
    <row r="188" s="3" customFormat="1" ht="12.75" customHeight="1" x14ac:dyDescent="0.35"/>
    <row r="189" s="3" customFormat="1" ht="12.75" customHeight="1" x14ac:dyDescent="0.35"/>
    <row r="190" s="3" customFormat="1" ht="12.75" customHeight="1" x14ac:dyDescent="0.35"/>
    <row r="191" s="3" customFormat="1" ht="12.75" customHeight="1" x14ac:dyDescent="0.35"/>
    <row r="192" s="3" customFormat="1" ht="12.75" customHeight="1" x14ac:dyDescent="0.35"/>
    <row r="193" s="3" customFormat="1" ht="12.75" customHeight="1" x14ac:dyDescent="0.35"/>
    <row r="194" s="3" customFormat="1" ht="12.75" customHeight="1" x14ac:dyDescent="0.35"/>
    <row r="195" s="3" customFormat="1" ht="12.75" customHeight="1" x14ac:dyDescent="0.35"/>
    <row r="196" s="3" customFormat="1" ht="12.75" customHeight="1" x14ac:dyDescent="0.35"/>
    <row r="197" s="3" customFormat="1" ht="12.75" customHeight="1" x14ac:dyDescent="0.35"/>
    <row r="198" s="3" customFormat="1" ht="12.75" customHeight="1" x14ac:dyDescent="0.35"/>
    <row r="199" s="3" customFormat="1" ht="12.75" customHeight="1" x14ac:dyDescent="0.35"/>
    <row r="200" s="3" customFormat="1" ht="12.75" customHeight="1" x14ac:dyDescent="0.35"/>
    <row r="201" s="3" customFormat="1" ht="12.75" customHeight="1" x14ac:dyDescent="0.35"/>
    <row r="202" s="3" customFormat="1" ht="12.75" customHeight="1" x14ac:dyDescent="0.35"/>
    <row r="203" s="3" customFormat="1" ht="12.75" customHeight="1" x14ac:dyDescent="0.35"/>
    <row r="204" s="3" customFormat="1" ht="12.75" customHeight="1" x14ac:dyDescent="0.35"/>
    <row r="205" s="3" customFormat="1" ht="12.75" customHeight="1" x14ac:dyDescent="0.35"/>
    <row r="206" s="3" customFormat="1" ht="12.75" customHeight="1" x14ac:dyDescent="0.35"/>
    <row r="207" s="3" customFormat="1" ht="12.75" customHeight="1" x14ac:dyDescent="0.35"/>
    <row r="208" s="3" customFormat="1" ht="12.75" customHeight="1" x14ac:dyDescent="0.35"/>
    <row r="209" s="3" customFormat="1" ht="12.75" customHeight="1" x14ac:dyDescent="0.35"/>
    <row r="210" s="3" customFormat="1" ht="12.75" customHeight="1" x14ac:dyDescent="0.35"/>
    <row r="211" s="3" customFormat="1" ht="12.75" customHeight="1" x14ac:dyDescent="0.35"/>
    <row r="212" s="3" customFormat="1" ht="12.75" customHeight="1" x14ac:dyDescent="0.35"/>
    <row r="213" s="3" customFormat="1" ht="12.75" customHeight="1" x14ac:dyDescent="0.35"/>
    <row r="214" s="3" customFormat="1" ht="12.75" customHeight="1" x14ac:dyDescent="0.35"/>
    <row r="215" s="3" customFormat="1" ht="12.75" customHeight="1" x14ac:dyDescent="0.35"/>
    <row r="216" s="3" customFormat="1" ht="12.75" customHeight="1" x14ac:dyDescent="0.35"/>
    <row r="217" s="3" customFormat="1" ht="12.75" customHeight="1" x14ac:dyDescent="0.35"/>
    <row r="218" s="3" customFormat="1" ht="12.75" customHeight="1" x14ac:dyDescent="0.35"/>
    <row r="219" s="3" customFormat="1" ht="12.75" customHeight="1" x14ac:dyDescent="0.35"/>
    <row r="220" s="3" customFormat="1" ht="12.75" customHeight="1" x14ac:dyDescent="0.35"/>
    <row r="221" s="3" customFormat="1" ht="12.75" customHeight="1" x14ac:dyDescent="0.35"/>
    <row r="222" s="3" customFormat="1" ht="12.75" customHeight="1" x14ac:dyDescent="0.35"/>
    <row r="223" s="3" customFormat="1" ht="12.75" customHeight="1" x14ac:dyDescent="0.35"/>
    <row r="224" s="3" customFormat="1" ht="12.75" customHeight="1" x14ac:dyDescent="0.35"/>
    <row r="225" s="3" customFormat="1" ht="12.75" customHeight="1" x14ac:dyDescent="0.35"/>
    <row r="226" s="3" customFormat="1" ht="12.75" customHeight="1" x14ac:dyDescent="0.35"/>
    <row r="227" s="3" customFormat="1" ht="12.75" customHeight="1" x14ac:dyDescent="0.35"/>
    <row r="228" s="3" customFormat="1" ht="12.75" customHeight="1" x14ac:dyDescent="0.35"/>
    <row r="229" s="3" customFormat="1" ht="12.75" customHeight="1" x14ac:dyDescent="0.35"/>
    <row r="230" s="3" customFormat="1" ht="12.75" customHeight="1" x14ac:dyDescent="0.35"/>
    <row r="231" s="3" customFormat="1" ht="12.75" customHeight="1" x14ac:dyDescent="0.35"/>
    <row r="232" s="3" customFormat="1" ht="12.75" customHeight="1" x14ac:dyDescent="0.35"/>
    <row r="233" s="3" customFormat="1" ht="12.75" customHeight="1" x14ac:dyDescent="0.35"/>
    <row r="234" s="3" customFormat="1" ht="12.75" customHeight="1" x14ac:dyDescent="0.35"/>
    <row r="235" s="3" customFormat="1" ht="12.75" customHeight="1" x14ac:dyDescent="0.35"/>
    <row r="236" s="3" customFormat="1" ht="12.75" customHeight="1" x14ac:dyDescent="0.35"/>
    <row r="237" s="3" customFormat="1" ht="12.75" customHeight="1" x14ac:dyDescent="0.35"/>
    <row r="238" s="3" customFormat="1" ht="12.75" customHeight="1" x14ac:dyDescent="0.35"/>
    <row r="239" s="3" customFormat="1" ht="12.75" customHeight="1" x14ac:dyDescent="0.35"/>
    <row r="240" s="3" customFormat="1" ht="12.75" customHeight="1" x14ac:dyDescent="0.35"/>
    <row r="241" s="3" customFormat="1" ht="12.75" customHeight="1" x14ac:dyDescent="0.35"/>
    <row r="242" s="3" customFormat="1" ht="12.75" customHeight="1" x14ac:dyDescent="0.35"/>
    <row r="243" s="3" customFormat="1" ht="12.75" customHeight="1" x14ac:dyDescent="0.35"/>
    <row r="244" s="3" customFormat="1" ht="12.75" customHeight="1" x14ac:dyDescent="0.35"/>
    <row r="245" s="3" customFormat="1" ht="12.75" customHeight="1" x14ac:dyDescent="0.35"/>
    <row r="246" s="3" customFormat="1" ht="12.75" customHeight="1" x14ac:dyDescent="0.35"/>
    <row r="247" s="3" customFormat="1" ht="12.75" customHeight="1" x14ac:dyDescent="0.35"/>
    <row r="248" s="3" customFormat="1" ht="12.75" customHeight="1" x14ac:dyDescent="0.35"/>
    <row r="249" s="3" customFormat="1" ht="12.75" customHeight="1" x14ac:dyDescent="0.35"/>
    <row r="250" s="3" customFormat="1" ht="12.75" customHeight="1" x14ac:dyDescent="0.35"/>
    <row r="251" s="3" customFormat="1" ht="12.75" customHeight="1" x14ac:dyDescent="0.35"/>
    <row r="252" s="3" customFormat="1" ht="12.75" customHeight="1" x14ac:dyDescent="0.35"/>
    <row r="253" s="3" customFormat="1" ht="12.75" customHeight="1" x14ac:dyDescent="0.35"/>
    <row r="254" s="3" customFormat="1" ht="12.75" customHeight="1" x14ac:dyDescent="0.35"/>
    <row r="255" s="3" customFormat="1" ht="12.75" customHeight="1" x14ac:dyDescent="0.35"/>
    <row r="256" s="3" customFormat="1" ht="12.75" customHeight="1" x14ac:dyDescent="0.35"/>
    <row r="257" s="3" customFormat="1" ht="12.75" customHeight="1" x14ac:dyDescent="0.35"/>
    <row r="258" s="3" customFormat="1" ht="12.75" customHeight="1" x14ac:dyDescent="0.35"/>
    <row r="259" s="3" customFormat="1" ht="12.75" customHeight="1" x14ac:dyDescent="0.35"/>
    <row r="260" s="3" customFormat="1" ht="12.75" customHeight="1" x14ac:dyDescent="0.35"/>
    <row r="261" s="3" customFormat="1" ht="12.75" customHeight="1" x14ac:dyDescent="0.35"/>
    <row r="262" s="3" customFormat="1" ht="12.75" customHeight="1" x14ac:dyDescent="0.35"/>
    <row r="263" s="3" customFormat="1" ht="12.75" customHeight="1" x14ac:dyDescent="0.35"/>
    <row r="264" s="3" customFormat="1" ht="12.75" customHeight="1" x14ac:dyDescent="0.35"/>
    <row r="265" s="3" customFormat="1" ht="12.75" customHeight="1" x14ac:dyDescent="0.35"/>
    <row r="266" s="3" customFormat="1" ht="12.75" customHeight="1" x14ac:dyDescent="0.35"/>
    <row r="267" s="3" customFormat="1" ht="12.75" customHeight="1" x14ac:dyDescent="0.35"/>
    <row r="268" s="3" customFormat="1" ht="12.75" customHeight="1" x14ac:dyDescent="0.35"/>
    <row r="269" s="3" customFormat="1" ht="12.75" customHeight="1" x14ac:dyDescent="0.35"/>
    <row r="270" s="3" customFormat="1" ht="12.75" customHeight="1" x14ac:dyDescent="0.35"/>
    <row r="271" s="3" customFormat="1" ht="12.75" customHeight="1" x14ac:dyDescent="0.35"/>
    <row r="272" s="3" customFormat="1" ht="12.75" customHeight="1" x14ac:dyDescent="0.35"/>
    <row r="273" s="3" customFormat="1" ht="12.75" customHeight="1" x14ac:dyDescent="0.35"/>
    <row r="274" s="3" customFormat="1" ht="12.75" customHeight="1" x14ac:dyDescent="0.35"/>
    <row r="275" s="3" customFormat="1" ht="12.75" customHeight="1" x14ac:dyDescent="0.35"/>
    <row r="276" s="3" customFormat="1" ht="12.75" customHeight="1" x14ac:dyDescent="0.35"/>
    <row r="277" s="3" customFormat="1" ht="12.75" customHeight="1" x14ac:dyDescent="0.35"/>
    <row r="278" s="3" customFormat="1" ht="12.75" customHeight="1" x14ac:dyDescent="0.35"/>
    <row r="279" s="3" customFormat="1" ht="12.75" customHeight="1" x14ac:dyDescent="0.35"/>
    <row r="280" s="3" customFormat="1" ht="12.75" customHeight="1" x14ac:dyDescent="0.35"/>
    <row r="281" s="3" customFormat="1" ht="12.75" customHeight="1" x14ac:dyDescent="0.35"/>
    <row r="282" s="3" customFormat="1" ht="12.75" customHeight="1" x14ac:dyDescent="0.35"/>
    <row r="283" s="3" customFormat="1" ht="12.75" customHeight="1" x14ac:dyDescent="0.35"/>
    <row r="284" s="3" customFormat="1" ht="12.75" customHeight="1" x14ac:dyDescent="0.35"/>
    <row r="285" s="3" customFormat="1" ht="12.75" customHeight="1" x14ac:dyDescent="0.35"/>
    <row r="286" s="3" customFormat="1" ht="12.75" customHeight="1" x14ac:dyDescent="0.35"/>
    <row r="287" s="3" customFormat="1" ht="12.75" customHeight="1" x14ac:dyDescent="0.35"/>
    <row r="288" s="3" customFormat="1" ht="12.75" customHeight="1" x14ac:dyDescent="0.35"/>
    <row r="289" s="3" customFormat="1" ht="12.75" customHeight="1" x14ac:dyDescent="0.35"/>
    <row r="290" s="3" customFormat="1" ht="12.75" customHeight="1" x14ac:dyDescent="0.35"/>
    <row r="291" s="3" customFormat="1" ht="12.75" customHeight="1" x14ac:dyDescent="0.35"/>
    <row r="292" s="3" customFormat="1" ht="12.75" customHeight="1" x14ac:dyDescent="0.35"/>
    <row r="293" s="3" customFormat="1" ht="12.75" customHeight="1" x14ac:dyDescent="0.35"/>
    <row r="294" s="3" customFormat="1" ht="12.75" customHeight="1" x14ac:dyDescent="0.35"/>
    <row r="295" s="3" customFormat="1" ht="12.75" customHeight="1" x14ac:dyDescent="0.35"/>
    <row r="296" s="3" customFormat="1" ht="12.75" customHeight="1" x14ac:dyDescent="0.35"/>
    <row r="297" s="3" customFormat="1" ht="12.75" customHeight="1" x14ac:dyDescent="0.35"/>
    <row r="298" s="3" customFormat="1" ht="12.75" customHeight="1" x14ac:dyDescent="0.35"/>
    <row r="299" s="3" customFormat="1" ht="12.75" customHeight="1" x14ac:dyDescent="0.35"/>
    <row r="300" s="3" customFormat="1" ht="12.75" customHeight="1" x14ac:dyDescent="0.35"/>
    <row r="301" s="3" customFormat="1" ht="12.75" customHeight="1" x14ac:dyDescent="0.35"/>
    <row r="302" s="3" customFormat="1" ht="12.75" customHeight="1" x14ac:dyDescent="0.35"/>
    <row r="303" s="3" customFormat="1" ht="12.75" customHeight="1" x14ac:dyDescent="0.35"/>
    <row r="304" s="3" customFormat="1" ht="12.75" customHeight="1" x14ac:dyDescent="0.35"/>
    <row r="305" s="3" customFormat="1" ht="12.75" customHeight="1" x14ac:dyDescent="0.35"/>
    <row r="306" s="3" customFormat="1" ht="12.75" customHeight="1" x14ac:dyDescent="0.35"/>
    <row r="307" s="3" customFormat="1" ht="12.75" customHeight="1" x14ac:dyDescent="0.35"/>
    <row r="308" s="3" customFormat="1" ht="12.75" customHeight="1" x14ac:dyDescent="0.35"/>
    <row r="309" s="3" customFormat="1" ht="12.75" customHeight="1" x14ac:dyDescent="0.35"/>
    <row r="310" s="3" customFormat="1" ht="12.75" customHeight="1" x14ac:dyDescent="0.35"/>
    <row r="311" s="3" customFormat="1" ht="12.75" customHeight="1" x14ac:dyDescent="0.35"/>
    <row r="312" s="3" customFormat="1" ht="12.75" customHeight="1" x14ac:dyDescent="0.35"/>
    <row r="313" s="3" customFormat="1" ht="12.75" customHeight="1" x14ac:dyDescent="0.35"/>
    <row r="314" s="3" customFormat="1" ht="12.75" customHeight="1" x14ac:dyDescent="0.35"/>
    <row r="315" s="3" customFormat="1" ht="12.75" customHeight="1" x14ac:dyDescent="0.35"/>
    <row r="316" s="3" customFormat="1" ht="12.75" customHeight="1" x14ac:dyDescent="0.35"/>
    <row r="317" s="3" customFormat="1" ht="12.75" customHeight="1" x14ac:dyDescent="0.35"/>
    <row r="318" s="3" customFormat="1" ht="12.75" customHeight="1" x14ac:dyDescent="0.35"/>
    <row r="319" s="3" customFormat="1" ht="12.75" customHeight="1" x14ac:dyDescent="0.35"/>
    <row r="320" s="3" customFormat="1" ht="12.75" customHeight="1" x14ac:dyDescent="0.35"/>
    <row r="321" s="3" customFormat="1" ht="12.75" customHeight="1" x14ac:dyDescent="0.35"/>
    <row r="322" s="3" customFormat="1" ht="12.75" customHeight="1" x14ac:dyDescent="0.35"/>
    <row r="323" s="3" customFormat="1" ht="12.75" customHeight="1" x14ac:dyDescent="0.35"/>
    <row r="324" s="3" customFormat="1" ht="12.75" customHeight="1" x14ac:dyDescent="0.35"/>
    <row r="325" s="3" customFormat="1" ht="12.75" customHeight="1" x14ac:dyDescent="0.35"/>
    <row r="326" s="3" customFormat="1" ht="12.75" customHeight="1" x14ac:dyDescent="0.35"/>
    <row r="327" s="3" customFormat="1" ht="12.75" customHeight="1" x14ac:dyDescent="0.35"/>
    <row r="328" s="3" customFormat="1" ht="12.75" customHeight="1" x14ac:dyDescent="0.35"/>
    <row r="329" s="3" customFormat="1" ht="12.75" customHeight="1" x14ac:dyDescent="0.35"/>
    <row r="330" s="3" customFormat="1" ht="12.75" customHeight="1" x14ac:dyDescent="0.35"/>
    <row r="331" s="3" customFormat="1" ht="12.75" customHeight="1" x14ac:dyDescent="0.35"/>
    <row r="332" s="3" customFormat="1" ht="12.75" customHeight="1" x14ac:dyDescent="0.35"/>
    <row r="333" s="3" customFormat="1" ht="12.75" customHeight="1" x14ac:dyDescent="0.35"/>
    <row r="334" s="3" customFormat="1" ht="12.75" customHeight="1" x14ac:dyDescent="0.35"/>
    <row r="335" s="3" customFormat="1" ht="12.75" customHeight="1" x14ac:dyDescent="0.35"/>
    <row r="336" s="3" customFormat="1" ht="12.75" customHeight="1" x14ac:dyDescent="0.35"/>
    <row r="337" s="3" customFormat="1" ht="12.75" customHeight="1" x14ac:dyDescent="0.35"/>
    <row r="338" s="3" customFormat="1" ht="12.75" customHeight="1" x14ac:dyDescent="0.35"/>
    <row r="339" s="3" customFormat="1" ht="12.75" customHeight="1" x14ac:dyDescent="0.35"/>
    <row r="340" s="3" customFormat="1" ht="12.75" customHeight="1" x14ac:dyDescent="0.35"/>
    <row r="341" s="3" customFormat="1" ht="12.75" customHeight="1" x14ac:dyDescent="0.35"/>
    <row r="342" s="3" customFormat="1" ht="12.75" customHeight="1" x14ac:dyDescent="0.35"/>
    <row r="343" s="3" customFormat="1" ht="12.75" customHeight="1" x14ac:dyDescent="0.35"/>
    <row r="344" s="3" customFormat="1" ht="12.75" customHeight="1" x14ac:dyDescent="0.35"/>
    <row r="345" s="3" customFormat="1" ht="12.75" customHeight="1" x14ac:dyDescent="0.35"/>
    <row r="346" s="3" customFormat="1" ht="12.75" customHeight="1" x14ac:dyDescent="0.35"/>
    <row r="347" s="3" customFormat="1" ht="12.75" customHeight="1" x14ac:dyDescent="0.35"/>
    <row r="348" s="3" customFormat="1" ht="12.75" customHeight="1" x14ac:dyDescent="0.35"/>
    <row r="349" s="3" customFormat="1" ht="12.75" customHeight="1" x14ac:dyDescent="0.35"/>
    <row r="350" s="3" customFormat="1" ht="12.75" customHeight="1" x14ac:dyDescent="0.35"/>
    <row r="351" s="3" customFormat="1" ht="12.75" customHeight="1" x14ac:dyDescent="0.35"/>
    <row r="352" s="3" customFormat="1" ht="12.75" customHeight="1" x14ac:dyDescent="0.35"/>
    <row r="353" s="3" customFormat="1" ht="12.75" customHeight="1" x14ac:dyDescent="0.35"/>
    <row r="354" s="3" customFormat="1" ht="12.75" customHeight="1" x14ac:dyDescent="0.35"/>
    <row r="355" s="3" customFormat="1" ht="12.75" customHeight="1" x14ac:dyDescent="0.35"/>
    <row r="356" s="3" customFormat="1" ht="12.75" customHeight="1" x14ac:dyDescent="0.35"/>
    <row r="357" s="3" customFormat="1" ht="12.75" customHeight="1" x14ac:dyDescent="0.35"/>
    <row r="358" s="3" customFormat="1" ht="12.75" customHeight="1" x14ac:dyDescent="0.35"/>
    <row r="359" s="3" customFormat="1" ht="12.75" customHeight="1" x14ac:dyDescent="0.35"/>
    <row r="360" s="3" customFormat="1" ht="12.75" customHeight="1" x14ac:dyDescent="0.35"/>
    <row r="361" s="3" customFormat="1" ht="12.75" customHeight="1" x14ac:dyDescent="0.35"/>
    <row r="362" s="3" customFormat="1" ht="12.75" customHeight="1" x14ac:dyDescent="0.35"/>
    <row r="363" s="3" customFormat="1" ht="12.75" customHeight="1" x14ac:dyDescent="0.35"/>
    <row r="364" s="3" customFormat="1" ht="12.75" customHeight="1" x14ac:dyDescent="0.35"/>
    <row r="365" s="3" customFormat="1" ht="12.75" customHeight="1" x14ac:dyDescent="0.35"/>
    <row r="366" s="3" customFormat="1" ht="12.75" customHeight="1" x14ac:dyDescent="0.35"/>
    <row r="367" s="3" customFormat="1" ht="12.75" customHeight="1" x14ac:dyDescent="0.35"/>
    <row r="368" s="3" customFormat="1" ht="12.75" customHeight="1" x14ac:dyDescent="0.35"/>
    <row r="369" s="3" customFormat="1" ht="12.75" customHeight="1" x14ac:dyDescent="0.35"/>
    <row r="370" s="3" customFormat="1" ht="12.75" customHeight="1" x14ac:dyDescent="0.35"/>
    <row r="371" s="3" customFormat="1" ht="12.75" customHeight="1" x14ac:dyDescent="0.35"/>
    <row r="372" s="3" customFormat="1" ht="12.75" customHeight="1" x14ac:dyDescent="0.35"/>
    <row r="373" s="3" customFormat="1" ht="12.75" customHeight="1" x14ac:dyDescent="0.35"/>
    <row r="374" s="3" customFormat="1" ht="12.75" customHeight="1" x14ac:dyDescent="0.35"/>
    <row r="375" s="3" customFormat="1" ht="12.75" customHeight="1" x14ac:dyDescent="0.35"/>
    <row r="376" s="3" customFormat="1" ht="12.75" customHeight="1" x14ac:dyDescent="0.35"/>
    <row r="377" s="3" customFormat="1" ht="12.75" customHeight="1" x14ac:dyDescent="0.35"/>
    <row r="378" s="3" customFormat="1" ht="12.75" customHeight="1" x14ac:dyDescent="0.35"/>
    <row r="379" s="3" customFormat="1" ht="12.75" customHeight="1" x14ac:dyDescent="0.35"/>
    <row r="380" s="3" customFormat="1" ht="12.75" customHeight="1" x14ac:dyDescent="0.35"/>
    <row r="381" s="3" customFormat="1" ht="12.75" customHeight="1" x14ac:dyDescent="0.35"/>
    <row r="382" s="3" customFormat="1" ht="12.75" customHeight="1" x14ac:dyDescent="0.35"/>
    <row r="383" s="3" customFormat="1" ht="12.75" customHeight="1" x14ac:dyDescent="0.35"/>
    <row r="384" s="3" customFormat="1" ht="12.75" customHeight="1" x14ac:dyDescent="0.35"/>
    <row r="385" s="3" customFormat="1" ht="12.75" customHeight="1" x14ac:dyDescent="0.35"/>
    <row r="386" s="3" customFormat="1" ht="12.75" customHeight="1" x14ac:dyDescent="0.35"/>
    <row r="387" s="3" customFormat="1" ht="12.75" customHeight="1" x14ac:dyDescent="0.35"/>
    <row r="388" s="3" customFormat="1" ht="12.75" customHeight="1" x14ac:dyDescent="0.35"/>
    <row r="389" s="3" customFormat="1" ht="12.75" customHeight="1" x14ac:dyDescent="0.35"/>
    <row r="390" s="3" customFormat="1" ht="12.75" customHeight="1" x14ac:dyDescent="0.35"/>
    <row r="391" s="3" customFormat="1" ht="12.75" customHeight="1" x14ac:dyDescent="0.35"/>
    <row r="392" s="3" customFormat="1" ht="12.75" customHeight="1" x14ac:dyDescent="0.35"/>
    <row r="393" s="3" customFormat="1" ht="12.75" customHeight="1" x14ac:dyDescent="0.35"/>
    <row r="394" s="3" customFormat="1" ht="12.75" customHeight="1" x14ac:dyDescent="0.35"/>
    <row r="395" s="3" customFormat="1" ht="12.75" customHeight="1" x14ac:dyDescent="0.35"/>
    <row r="396" s="3" customFormat="1" ht="12.75" customHeight="1" x14ac:dyDescent="0.35"/>
    <row r="397" s="3" customFormat="1" ht="12.75" customHeight="1" x14ac:dyDescent="0.35"/>
    <row r="398" s="3" customFormat="1" ht="12.75" customHeight="1" x14ac:dyDescent="0.35"/>
    <row r="399" s="3" customFormat="1" ht="12.75" customHeight="1" x14ac:dyDescent="0.35"/>
    <row r="400" s="3" customFormat="1" ht="12.75" customHeight="1" x14ac:dyDescent="0.35"/>
    <row r="401" s="3" customFormat="1" ht="12.75" customHeight="1" x14ac:dyDescent="0.35"/>
    <row r="402" s="3" customFormat="1" ht="12.75" customHeight="1" x14ac:dyDescent="0.35"/>
    <row r="403" s="3" customFormat="1" ht="12.75" customHeight="1" x14ac:dyDescent="0.35"/>
    <row r="404" s="3" customFormat="1" ht="12.75" customHeight="1" x14ac:dyDescent="0.35"/>
    <row r="405" s="3" customFormat="1" ht="12.75" customHeight="1" x14ac:dyDescent="0.35"/>
    <row r="406" s="3" customFormat="1" ht="12.75" customHeight="1" x14ac:dyDescent="0.35"/>
    <row r="407" s="3" customFormat="1" ht="12.75" customHeight="1" x14ac:dyDescent="0.35"/>
    <row r="408" s="3" customFormat="1" ht="12.75" customHeight="1" x14ac:dyDescent="0.35"/>
    <row r="409" s="3" customFormat="1" ht="12.75" customHeight="1" x14ac:dyDescent="0.35"/>
    <row r="410" s="3" customFormat="1" ht="12.75" customHeight="1" x14ac:dyDescent="0.35"/>
    <row r="411" s="3" customFormat="1" ht="12.75" customHeight="1" x14ac:dyDescent="0.35"/>
    <row r="412" s="3" customFormat="1" ht="12.75" customHeight="1" x14ac:dyDescent="0.35"/>
    <row r="413" s="3" customFormat="1" ht="12.75" customHeight="1" x14ac:dyDescent="0.35"/>
    <row r="414" s="3" customFormat="1" ht="12.75" customHeight="1" x14ac:dyDescent="0.35"/>
    <row r="415" s="3" customFormat="1" ht="12.75" customHeight="1" x14ac:dyDescent="0.35"/>
    <row r="416" s="3" customFormat="1" ht="12.75" customHeight="1" x14ac:dyDescent="0.35"/>
    <row r="417" s="3" customFormat="1" ht="12.75" customHeight="1" x14ac:dyDescent="0.35"/>
    <row r="418" s="3" customFormat="1" ht="12.75" customHeight="1" x14ac:dyDescent="0.35"/>
    <row r="419" s="3" customFormat="1" ht="12.75" customHeight="1" x14ac:dyDescent="0.35"/>
    <row r="420" s="3" customFormat="1" ht="12.75" customHeight="1" x14ac:dyDescent="0.35"/>
    <row r="421" s="3" customFormat="1" ht="12.75" customHeight="1" x14ac:dyDescent="0.35"/>
    <row r="422" s="3" customFormat="1" ht="12.75" customHeight="1" x14ac:dyDescent="0.35"/>
    <row r="423" s="3" customFormat="1" ht="12.75" customHeight="1" x14ac:dyDescent="0.35"/>
    <row r="424" s="3" customFormat="1" ht="12.75" customHeight="1" x14ac:dyDescent="0.35"/>
    <row r="425" s="3" customFormat="1" ht="12.75" customHeight="1" x14ac:dyDescent="0.35"/>
    <row r="426" s="3" customFormat="1" ht="12.75" customHeight="1" x14ac:dyDescent="0.35"/>
    <row r="427" s="3" customFormat="1" ht="12.75" customHeight="1" x14ac:dyDescent="0.35"/>
    <row r="428" s="3" customFormat="1" ht="12.75" customHeight="1" x14ac:dyDescent="0.35"/>
    <row r="429" s="3" customFormat="1" ht="12.75" customHeight="1" x14ac:dyDescent="0.35"/>
    <row r="430" s="3" customFormat="1" ht="12.75" customHeight="1" x14ac:dyDescent="0.35"/>
    <row r="431" s="3" customFormat="1" ht="12.75" customHeight="1" x14ac:dyDescent="0.35"/>
    <row r="432" s="3" customFormat="1" ht="12.75" customHeight="1" x14ac:dyDescent="0.35"/>
    <row r="433" s="3" customFormat="1" ht="12.75" customHeight="1" x14ac:dyDescent="0.35"/>
    <row r="434" s="3" customFormat="1" ht="12.75" customHeight="1" x14ac:dyDescent="0.35"/>
    <row r="435" s="3" customFormat="1" ht="12.75" customHeight="1" x14ac:dyDescent="0.35"/>
    <row r="436" s="3" customFormat="1" ht="12.75" customHeight="1" x14ac:dyDescent="0.35"/>
    <row r="437" s="3" customFormat="1" ht="12.75" customHeight="1" x14ac:dyDescent="0.35"/>
    <row r="438" s="3" customFormat="1" ht="12.75" customHeight="1" x14ac:dyDescent="0.35"/>
    <row r="439" s="3" customFormat="1" ht="12.75" customHeight="1" x14ac:dyDescent="0.35"/>
    <row r="440" s="3" customFormat="1" ht="12.75" customHeight="1" x14ac:dyDescent="0.35"/>
    <row r="441" s="3" customFormat="1" ht="12.75" customHeight="1" x14ac:dyDescent="0.35"/>
    <row r="442" s="3" customFormat="1" ht="12.75" customHeight="1" x14ac:dyDescent="0.35"/>
    <row r="443" s="3" customFormat="1" ht="12.75" customHeight="1" x14ac:dyDescent="0.35"/>
    <row r="444" s="3" customFormat="1" ht="12.75" customHeight="1" x14ac:dyDescent="0.35"/>
    <row r="445" s="3" customFormat="1" ht="12.75" customHeight="1" x14ac:dyDescent="0.35"/>
    <row r="446" s="3" customFormat="1" ht="12.75" customHeight="1" x14ac:dyDescent="0.35"/>
    <row r="447" s="3" customFormat="1" ht="12.75" customHeight="1" x14ac:dyDescent="0.35"/>
    <row r="448" s="3" customFormat="1" ht="12.75" customHeight="1" x14ac:dyDescent="0.35"/>
    <row r="449" s="3" customFormat="1" ht="12.75" customHeight="1" x14ac:dyDescent="0.35"/>
    <row r="450" s="3" customFormat="1" ht="12.75" customHeight="1" x14ac:dyDescent="0.35"/>
    <row r="451" s="3" customFormat="1" ht="12.75" customHeight="1" x14ac:dyDescent="0.35"/>
    <row r="452" s="3" customFormat="1" ht="12.75" customHeight="1" x14ac:dyDescent="0.35"/>
    <row r="453" s="3" customFormat="1" ht="12.75" customHeight="1" x14ac:dyDescent="0.35"/>
    <row r="454" s="3" customFormat="1" ht="12.75" customHeight="1" x14ac:dyDescent="0.35"/>
    <row r="455" s="3" customFormat="1" ht="12.75" customHeight="1" x14ac:dyDescent="0.35"/>
    <row r="456" s="3" customFormat="1" ht="12.75" customHeight="1" x14ac:dyDescent="0.35"/>
    <row r="457" s="3" customFormat="1" ht="12.75" customHeight="1" x14ac:dyDescent="0.35"/>
    <row r="458" s="3" customFormat="1" ht="12.75" customHeight="1" x14ac:dyDescent="0.35"/>
    <row r="459" s="3" customFormat="1" ht="12.75" customHeight="1" x14ac:dyDescent="0.35"/>
    <row r="460" s="3" customFormat="1" ht="12.75" customHeight="1" x14ac:dyDescent="0.35"/>
    <row r="461" s="3" customFormat="1" ht="12.75" customHeight="1" x14ac:dyDescent="0.35"/>
    <row r="462" s="3" customFormat="1" ht="12.75" customHeight="1" x14ac:dyDescent="0.35"/>
    <row r="463" s="3" customFormat="1" ht="12.75" customHeight="1" x14ac:dyDescent="0.35"/>
    <row r="464" s="3" customFormat="1" ht="12.75" customHeight="1" x14ac:dyDescent="0.35"/>
    <row r="465" s="3" customFormat="1" ht="12.75" customHeight="1" x14ac:dyDescent="0.35"/>
    <row r="466" s="3" customFormat="1" ht="12.75" customHeight="1" x14ac:dyDescent="0.35"/>
    <row r="467" s="3" customFormat="1" ht="12.75" customHeight="1" x14ac:dyDescent="0.35"/>
    <row r="468" s="3" customFormat="1" ht="12.75" customHeight="1" x14ac:dyDescent="0.35"/>
    <row r="469" s="3" customFormat="1" ht="12.75" customHeight="1" x14ac:dyDescent="0.35"/>
    <row r="470" s="3" customFormat="1" ht="12.75" customHeight="1" x14ac:dyDescent="0.35"/>
    <row r="471" s="3" customFormat="1" ht="12.75" customHeight="1" x14ac:dyDescent="0.35"/>
    <row r="472" s="3" customFormat="1" ht="12.75" customHeight="1" x14ac:dyDescent="0.35"/>
    <row r="473" s="3" customFormat="1" ht="12.75" customHeight="1" x14ac:dyDescent="0.35"/>
    <row r="474" s="3" customFormat="1" ht="12.75" customHeight="1" x14ac:dyDescent="0.35"/>
    <row r="475" s="3" customFormat="1" ht="12.75" customHeight="1" x14ac:dyDescent="0.35"/>
    <row r="476" s="3" customFormat="1" ht="12.75" customHeight="1" x14ac:dyDescent="0.35"/>
    <row r="477" s="3" customFormat="1" ht="12.75" customHeight="1" x14ac:dyDescent="0.35"/>
    <row r="478" s="3" customFormat="1" ht="12.75" customHeight="1" x14ac:dyDescent="0.35"/>
    <row r="479" s="3" customFormat="1" ht="12.75" customHeight="1" x14ac:dyDescent="0.35"/>
    <row r="480" s="3" customFormat="1" ht="12.75" customHeight="1" x14ac:dyDescent="0.35"/>
    <row r="481" s="3" customFormat="1" ht="12.75" customHeight="1" x14ac:dyDescent="0.35"/>
    <row r="482" s="3" customFormat="1" ht="12.75" customHeight="1" x14ac:dyDescent="0.35"/>
    <row r="483" s="3" customFormat="1" ht="12.75" customHeight="1" x14ac:dyDescent="0.35"/>
    <row r="484" s="3" customFormat="1" ht="12.75" customHeight="1" x14ac:dyDescent="0.35"/>
    <row r="485" s="3" customFormat="1" ht="12.75" customHeight="1" x14ac:dyDescent="0.35"/>
    <row r="486" s="3" customFormat="1" ht="12.75" customHeight="1" x14ac:dyDescent="0.35"/>
    <row r="487" s="3" customFormat="1" ht="12.75" customHeight="1" x14ac:dyDescent="0.35"/>
    <row r="488" s="3" customFormat="1" ht="12.75" customHeight="1" x14ac:dyDescent="0.35"/>
    <row r="489" s="3" customFormat="1" ht="12.75" customHeight="1" x14ac:dyDescent="0.35"/>
    <row r="490" s="3" customFormat="1" ht="12.75" customHeight="1" x14ac:dyDescent="0.35"/>
    <row r="491" s="3" customFormat="1" ht="12.75" customHeight="1" x14ac:dyDescent="0.35"/>
    <row r="492" s="3" customFormat="1" ht="12.75" customHeight="1" x14ac:dyDescent="0.35"/>
    <row r="493" s="3" customFormat="1" ht="12.75" customHeight="1" x14ac:dyDescent="0.35"/>
    <row r="494" s="3" customFormat="1" ht="12.75" customHeight="1" x14ac:dyDescent="0.35"/>
    <row r="495" s="3" customFormat="1" ht="12.75" customHeight="1" x14ac:dyDescent="0.35"/>
    <row r="496" s="3" customFormat="1" ht="12.75" customHeight="1" x14ac:dyDescent="0.35"/>
    <row r="497" s="3" customFormat="1" ht="12.75" customHeight="1" x14ac:dyDescent="0.35"/>
    <row r="498" s="3" customFormat="1" ht="12.75" customHeight="1" x14ac:dyDescent="0.35"/>
    <row r="499" s="3" customFormat="1" ht="12.75" customHeight="1" x14ac:dyDescent="0.35"/>
    <row r="500" s="3" customFormat="1" ht="12.75" customHeight="1" x14ac:dyDescent="0.35"/>
    <row r="501" s="3" customFormat="1" ht="12.75" customHeight="1" x14ac:dyDescent="0.35"/>
    <row r="502" s="3" customFormat="1" ht="12.75" customHeight="1" x14ac:dyDescent="0.35"/>
    <row r="503" s="3" customFormat="1" ht="12.75" customHeight="1" x14ac:dyDescent="0.35"/>
    <row r="504" s="3" customFormat="1" ht="12.75" customHeight="1" x14ac:dyDescent="0.35"/>
    <row r="505" s="3" customFormat="1" ht="12.75" customHeight="1" x14ac:dyDescent="0.35"/>
    <row r="506" s="3" customFormat="1" ht="12.75" customHeight="1" x14ac:dyDescent="0.35"/>
    <row r="507" s="3" customFormat="1" ht="12.75" customHeight="1" x14ac:dyDescent="0.35"/>
    <row r="508" s="3" customFormat="1" ht="12.75" customHeight="1" x14ac:dyDescent="0.35"/>
    <row r="509" s="3" customFormat="1" ht="12.75" customHeight="1" x14ac:dyDescent="0.35"/>
    <row r="510" s="3" customFormat="1" ht="12.75" customHeight="1" x14ac:dyDescent="0.35"/>
    <row r="511" s="3" customFormat="1" ht="12.75" customHeight="1" x14ac:dyDescent="0.35"/>
    <row r="512" s="3" customFormat="1" ht="12.75" customHeight="1" x14ac:dyDescent="0.35"/>
    <row r="513" s="3" customFormat="1" ht="12.75" customHeight="1" x14ac:dyDescent="0.35"/>
    <row r="514" s="3" customFormat="1" ht="12.75" customHeight="1" x14ac:dyDescent="0.35"/>
    <row r="515" s="3" customFormat="1" ht="12.75" customHeight="1" x14ac:dyDescent="0.35"/>
    <row r="516" s="3" customFormat="1" ht="12.75" customHeight="1" x14ac:dyDescent="0.35"/>
    <row r="517" s="3" customFormat="1" ht="12.75" customHeight="1" x14ac:dyDescent="0.35"/>
    <row r="518" s="3" customFormat="1" ht="12.75" customHeight="1" x14ac:dyDescent="0.35"/>
    <row r="519" s="3" customFormat="1" ht="12.75" customHeight="1" x14ac:dyDescent="0.35"/>
    <row r="520" s="3" customFormat="1" ht="12.75" customHeight="1" x14ac:dyDescent="0.35"/>
    <row r="521" s="3" customFormat="1" ht="12.75" customHeight="1" x14ac:dyDescent="0.35"/>
    <row r="522" s="3" customFormat="1" ht="12.75" customHeight="1" x14ac:dyDescent="0.35"/>
    <row r="523" s="3" customFormat="1" ht="12.75" customHeight="1" x14ac:dyDescent="0.35"/>
    <row r="524" s="3" customFormat="1" ht="12.75" customHeight="1" x14ac:dyDescent="0.35"/>
    <row r="525" s="3" customFormat="1" ht="12.75" customHeight="1" x14ac:dyDescent="0.35"/>
    <row r="526" s="3" customFormat="1" ht="12.75" customHeight="1" x14ac:dyDescent="0.35"/>
    <row r="527" s="3" customFormat="1" ht="12.75" customHeight="1" x14ac:dyDescent="0.35"/>
    <row r="528" s="3" customFormat="1" ht="12.75" customHeight="1" x14ac:dyDescent="0.35"/>
    <row r="529" s="3" customFormat="1" ht="12.75" customHeight="1" x14ac:dyDescent="0.35"/>
    <row r="530" s="3" customFormat="1" ht="12.75" customHeight="1" x14ac:dyDescent="0.35"/>
    <row r="531" s="3" customFormat="1" ht="12.75" customHeight="1" x14ac:dyDescent="0.35"/>
    <row r="532" s="3" customFormat="1" ht="12.75" customHeight="1" x14ac:dyDescent="0.35"/>
    <row r="533" s="3" customFormat="1" ht="12.75" customHeight="1" x14ac:dyDescent="0.35"/>
    <row r="534" s="3" customFormat="1" ht="12.75" customHeight="1" x14ac:dyDescent="0.35"/>
    <row r="535" s="3" customFormat="1" ht="12.75" customHeight="1" x14ac:dyDescent="0.35"/>
    <row r="536" s="3" customFormat="1" ht="12.75" customHeight="1" x14ac:dyDescent="0.35"/>
    <row r="537" s="3" customFormat="1" ht="12.75" customHeight="1" x14ac:dyDescent="0.35"/>
    <row r="538" s="3" customFormat="1" ht="12.75" customHeight="1" x14ac:dyDescent="0.35"/>
    <row r="539" s="3" customFormat="1" ht="12.75" customHeight="1" x14ac:dyDescent="0.35"/>
    <row r="540" s="3" customFormat="1" ht="12.75" customHeight="1" x14ac:dyDescent="0.35"/>
    <row r="541" s="3" customFormat="1" ht="12.75" customHeight="1" x14ac:dyDescent="0.35"/>
    <row r="542" s="3" customFormat="1" ht="12.75" customHeight="1" x14ac:dyDescent="0.35"/>
    <row r="543" s="3" customFormat="1" ht="12.75" customHeight="1" x14ac:dyDescent="0.35"/>
    <row r="544" s="3" customFormat="1" ht="12.75" customHeight="1" x14ac:dyDescent="0.35"/>
    <row r="545" s="3" customFormat="1" ht="12.75" customHeight="1" x14ac:dyDescent="0.35"/>
    <row r="546" s="3" customFormat="1" ht="12.75" customHeight="1" x14ac:dyDescent="0.35"/>
    <row r="547" s="3" customFormat="1" ht="12.75" customHeight="1" x14ac:dyDescent="0.35"/>
    <row r="548" s="3" customFormat="1" ht="12.75" customHeight="1" x14ac:dyDescent="0.35"/>
    <row r="549" s="3" customFormat="1" ht="12.75" customHeight="1" x14ac:dyDescent="0.35"/>
    <row r="550" s="3" customFormat="1" ht="12.75" customHeight="1" x14ac:dyDescent="0.35"/>
    <row r="551" s="3" customFormat="1" ht="12.75" customHeight="1" x14ac:dyDescent="0.35"/>
    <row r="552" s="3" customFormat="1" ht="12.75" customHeight="1" x14ac:dyDescent="0.35"/>
    <row r="553" s="3" customFormat="1" ht="12.75" customHeight="1" x14ac:dyDescent="0.35"/>
    <row r="554" s="3" customFormat="1" ht="12.75" customHeight="1" x14ac:dyDescent="0.35"/>
    <row r="555" s="3" customFormat="1" ht="12.75" customHeight="1" x14ac:dyDescent="0.35"/>
    <row r="556" s="3" customFormat="1" ht="12.75" customHeight="1" x14ac:dyDescent="0.35"/>
    <row r="557" s="3" customFormat="1" ht="12.75" customHeight="1" x14ac:dyDescent="0.35"/>
    <row r="558" s="3" customFormat="1" ht="12.75" customHeight="1" x14ac:dyDescent="0.35"/>
    <row r="559" s="3" customFormat="1" ht="12.75" customHeight="1" x14ac:dyDescent="0.35"/>
    <row r="560" s="3" customFormat="1" ht="12.75" customHeight="1" x14ac:dyDescent="0.35"/>
    <row r="561" s="3" customFormat="1" ht="12.75" customHeight="1" x14ac:dyDescent="0.35"/>
    <row r="562" s="3" customFormat="1" ht="12.75" customHeight="1" x14ac:dyDescent="0.35"/>
    <row r="563" s="3" customFormat="1" ht="12.75" customHeight="1" x14ac:dyDescent="0.35"/>
    <row r="564" s="3" customFormat="1" ht="12.75" customHeight="1" x14ac:dyDescent="0.35"/>
    <row r="565" s="3" customFormat="1" ht="12.75" customHeight="1" x14ac:dyDescent="0.35"/>
    <row r="566" s="3" customFormat="1" ht="12.75" customHeight="1" x14ac:dyDescent="0.35"/>
    <row r="567" s="3" customFormat="1" ht="12.75" customHeight="1" x14ac:dyDescent="0.35"/>
    <row r="568" s="3" customFormat="1" ht="12.75" customHeight="1" x14ac:dyDescent="0.35"/>
    <row r="569" s="3" customFormat="1" ht="12.75" customHeight="1" x14ac:dyDescent="0.35"/>
    <row r="570" s="3" customFormat="1" ht="12.75" customHeight="1" x14ac:dyDescent="0.35"/>
    <row r="571" s="3" customFormat="1" ht="12.75" customHeight="1" x14ac:dyDescent="0.35"/>
    <row r="572" s="3" customFormat="1" ht="12.75" customHeight="1" x14ac:dyDescent="0.35"/>
    <row r="573" s="3" customFormat="1" ht="12.75" customHeight="1" x14ac:dyDescent="0.35"/>
    <row r="574" s="3" customFormat="1" ht="12.75" customHeight="1" x14ac:dyDescent="0.35"/>
    <row r="575" s="3" customFormat="1" ht="12.75" customHeight="1" x14ac:dyDescent="0.35"/>
    <row r="576" s="3" customFormat="1" ht="12.75" customHeight="1" x14ac:dyDescent="0.35"/>
    <row r="577" s="3" customFormat="1" ht="12.75" customHeight="1" x14ac:dyDescent="0.35"/>
    <row r="578" s="3" customFormat="1" ht="12.75" customHeight="1" x14ac:dyDescent="0.35"/>
    <row r="579" s="3" customFormat="1" ht="12.75" customHeight="1" x14ac:dyDescent="0.35"/>
    <row r="580" s="3" customFormat="1" ht="12.75" customHeight="1" x14ac:dyDescent="0.35"/>
    <row r="581" s="3" customFormat="1" ht="12.75" customHeight="1" x14ac:dyDescent="0.35"/>
    <row r="582" s="3" customFormat="1" ht="12.75" customHeight="1" x14ac:dyDescent="0.35"/>
    <row r="583" s="3" customFormat="1" ht="12.75" customHeight="1" x14ac:dyDescent="0.35"/>
    <row r="584" s="3" customFormat="1" ht="12.75" customHeight="1" x14ac:dyDescent="0.35"/>
    <row r="585" s="3" customFormat="1" ht="12.75" customHeight="1" x14ac:dyDescent="0.35"/>
    <row r="586" s="3" customFormat="1" ht="12.75" customHeight="1" x14ac:dyDescent="0.35"/>
    <row r="587" s="3" customFormat="1" ht="12.75" customHeight="1" x14ac:dyDescent="0.35"/>
    <row r="588" s="3" customFormat="1" ht="12.75" customHeight="1" x14ac:dyDescent="0.35"/>
    <row r="589" s="3" customFormat="1" ht="12.75" customHeight="1" x14ac:dyDescent="0.35"/>
    <row r="590" s="3" customFormat="1" ht="12.75" customHeight="1" x14ac:dyDescent="0.35"/>
    <row r="591" s="3" customFormat="1" ht="12.75" customHeight="1" x14ac:dyDescent="0.35"/>
    <row r="592" s="3" customFormat="1" ht="12.75" customHeight="1" x14ac:dyDescent="0.35"/>
    <row r="593" s="3" customFormat="1" ht="12.75" customHeight="1" x14ac:dyDescent="0.35"/>
    <row r="594" s="3" customFormat="1" ht="12.75" customHeight="1" x14ac:dyDescent="0.35"/>
    <row r="595" s="3" customFormat="1" ht="12.75" customHeight="1" x14ac:dyDescent="0.35"/>
    <row r="596" s="3" customFormat="1" ht="12.75" customHeight="1" x14ac:dyDescent="0.35"/>
    <row r="597" s="3" customFormat="1" ht="12.75" customHeight="1" x14ac:dyDescent="0.35"/>
    <row r="598" s="3" customFormat="1" ht="12.75" customHeight="1" x14ac:dyDescent="0.35"/>
    <row r="599" s="3" customFormat="1" ht="12.75" customHeight="1" x14ac:dyDescent="0.35"/>
    <row r="600" s="3" customFormat="1" ht="12.75" customHeight="1" x14ac:dyDescent="0.35"/>
    <row r="601" s="3" customFormat="1" ht="12.75" customHeight="1" x14ac:dyDescent="0.35"/>
    <row r="602" s="3" customFormat="1" ht="12.75" customHeight="1" x14ac:dyDescent="0.35"/>
    <row r="603" s="3" customFormat="1" ht="12.75" customHeight="1" x14ac:dyDescent="0.35"/>
    <row r="604" s="3" customFormat="1" ht="12.75" customHeight="1" x14ac:dyDescent="0.35"/>
    <row r="605" s="3" customFormat="1" ht="12.75" customHeight="1" x14ac:dyDescent="0.35"/>
    <row r="606" s="3" customFormat="1" ht="12.75" customHeight="1" x14ac:dyDescent="0.35"/>
    <row r="607" s="3" customFormat="1" ht="12.75" customHeight="1" x14ac:dyDescent="0.35"/>
    <row r="608" s="3" customFormat="1" ht="12.75" customHeight="1" x14ac:dyDescent="0.35"/>
    <row r="609" s="3" customFormat="1" ht="12.75" customHeight="1" x14ac:dyDescent="0.35"/>
    <row r="610" s="3" customFormat="1" ht="12.75" customHeight="1" x14ac:dyDescent="0.35"/>
    <row r="611" s="3" customFormat="1" ht="12.75" customHeight="1" x14ac:dyDescent="0.35"/>
    <row r="612" s="3" customFormat="1" ht="12.75" customHeight="1" x14ac:dyDescent="0.35"/>
    <row r="613" s="3" customFormat="1" ht="12.75" customHeight="1" x14ac:dyDescent="0.35"/>
    <row r="614" s="3" customFormat="1" ht="12.75" customHeight="1" x14ac:dyDescent="0.35"/>
    <row r="615" s="3" customFormat="1" ht="12.75" customHeight="1" x14ac:dyDescent="0.35"/>
    <row r="616" s="3" customFormat="1" ht="12.75" customHeight="1" x14ac:dyDescent="0.35"/>
    <row r="617" s="3" customFormat="1" ht="12.75" customHeight="1" x14ac:dyDescent="0.35"/>
    <row r="618" s="3" customFormat="1" ht="12.75" customHeight="1" x14ac:dyDescent="0.35"/>
    <row r="619" s="3" customFormat="1" ht="12.75" customHeight="1" x14ac:dyDescent="0.35"/>
    <row r="620" s="3" customFormat="1" ht="12.75" customHeight="1" x14ac:dyDescent="0.35"/>
    <row r="621" s="3" customFormat="1" ht="12.75" customHeight="1" x14ac:dyDescent="0.35"/>
    <row r="622" s="3" customFormat="1" ht="12.75" customHeight="1" x14ac:dyDescent="0.35"/>
    <row r="623" s="3" customFormat="1" ht="12.75" customHeight="1" x14ac:dyDescent="0.35"/>
    <row r="624" s="3" customFormat="1" ht="12.75" customHeight="1" x14ac:dyDescent="0.35"/>
    <row r="625" s="3" customFormat="1" ht="12.75" customHeight="1" x14ac:dyDescent="0.35"/>
    <row r="626" s="3" customFormat="1" ht="12.75" customHeight="1" x14ac:dyDescent="0.35"/>
    <row r="627" s="3" customFormat="1" ht="12.75" customHeight="1" x14ac:dyDescent="0.35"/>
    <row r="628" s="3" customFormat="1" ht="12.75" customHeight="1" x14ac:dyDescent="0.35"/>
    <row r="629" s="3" customFormat="1" ht="12.75" customHeight="1" x14ac:dyDescent="0.35"/>
    <row r="630" s="3" customFormat="1" ht="12.75" customHeight="1" x14ac:dyDescent="0.35"/>
    <row r="631" s="3" customFormat="1" ht="12.75" customHeight="1" x14ac:dyDescent="0.35"/>
    <row r="632" s="3" customFormat="1" ht="12.75" customHeight="1" x14ac:dyDescent="0.35"/>
    <row r="633" s="3" customFormat="1" ht="12.75" customHeight="1" x14ac:dyDescent="0.35"/>
    <row r="634" s="3" customFormat="1" ht="12.75" customHeight="1" x14ac:dyDescent="0.35"/>
    <row r="635" s="3" customFormat="1" ht="12.75" customHeight="1" x14ac:dyDescent="0.35"/>
    <row r="636" s="3" customFormat="1" ht="12.75" customHeight="1" x14ac:dyDescent="0.35"/>
    <row r="637" s="3" customFormat="1" ht="12.75" customHeight="1" x14ac:dyDescent="0.35"/>
    <row r="638" s="3" customFormat="1" ht="12.75" customHeight="1" x14ac:dyDescent="0.35"/>
    <row r="639" s="3" customFormat="1" ht="12.75" customHeight="1" x14ac:dyDescent="0.35"/>
    <row r="640" s="3" customFormat="1" ht="12.75" customHeight="1" x14ac:dyDescent="0.35"/>
    <row r="641" s="3" customFormat="1" ht="12.75" customHeight="1" x14ac:dyDescent="0.35"/>
    <row r="642" s="3" customFormat="1" ht="12.75" customHeight="1" x14ac:dyDescent="0.35"/>
    <row r="643" s="3" customFormat="1" ht="12.75" customHeight="1" x14ac:dyDescent="0.35"/>
    <row r="644" s="3" customFormat="1" ht="12.75" customHeight="1" x14ac:dyDescent="0.35"/>
    <row r="645" s="3" customFormat="1" ht="12.75" customHeight="1" x14ac:dyDescent="0.35"/>
    <row r="646" s="3" customFormat="1" ht="12.75" customHeight="1" x14ac:dyDescent="0.35"/>
    <row r="647" s="3" customFormat="1" ht="12.75" customHeight="1" x14ac:dyDescent="0.35"/>
    <row r="648" s="3" customFormat="1" ht="12.75" customHeight="1" x14ac:dyDescent="0.35"/>
    <row r="649" s="3" customFormat="1" ht="12.75" customHeight="1" x14ac:dyDescent="0.35"/>
    <row r="650" s="3" customFormat="1" ht="12.75" customHeight="1" x14ac:dyDescent="0.35"/>
    <row r="651" s="3" customFormat="1" ht="12.75" customHeight="1" x14ac:dyDescent="0.35"/>
    <row r="652" s="3" customFormat="1" ht="12.75" customHeight="1" x14ac:dyDescent="0.35"/>
    <row r="653" s="3" customFormat="1" ht="12.75" customHeight="1" x14ac:dyDescent="0.35"/>
    <row r="654" s="3" customFormat="1" ht="12.75" customHeight="1" x14ac:dyDescent="0.35"/>
    <row r="655" s="3" customFormat="1" ht="12.75" customHeight="1" x14ac:dyDescent="0.35"/>
    <row r="656" s="3" customFormat="1" ht="12.75" customHeight="1" x14ac:dyDescent="0.35"/>
    <row r="657" s="3" customFormat="1" ht="12.75" customHeight="1" x14ac:dyDescent="0.35"/>
    <row r="658" s="3" customFormat="1" ht="12.75" customHeight="1" x14ac:dyDescent="0.35"/>
    <row r="659" s="3" customFormat="1" ht="12.75" customHeight="1" x14ac:dyDescent="0.35"/>
    <row r="660" s="3" customFormat="1" ht="12.75" customHeight="1" x14ac:dyDescent="0.35"/>
    <row r="661" s="3" customFormat="1" ht="12.75" customHeight="1" x14ac:dyDescent="0.35"/>
    <row r="662" s="3" customFormat="1" ht="12.75" customHeight="1" x14ac:dyDescent="0.35"/>
    <row r="663" s="3" customFormat="1" ht="12.75" customHeight="1" x14ac:dyDescent="0.35"/>
    <row r="664" s="3" customFormat="1" ht="12.75" customHeight="1" x14ac:dyDescent="0.35"/>
    <row r="665" s="3" customFormat="1" ht="12.75" customHeight="1" x14ac:dyDescent="0.35"/>
    <row r="666" s="3" customFormat="1" ht="12.75" customHeight="1" x14ac:dyDescent="0.35"/>
    <row r="667" s="3" customFormat="1" ht="12.75" customHeight="1" x14ac:dyDescent="0.35"/>
    <row r="668" s="3" customFormat="1" ht="12.75" customHeight="1" x14ac:dyDescent="0.35"/>
    <row r="669" s="3" customFormat="1" ht="12.75" customHeight="1" x14ac:dyDescent="0.35"/>
    <row r="670" s="3" customFormat="1" ht="12.75" customHeight="1" x14ac:dyDescent="0.35"/>
    <row r="671" s="3" customFormat="1" ht="12.75" customHeight="1" x14ac:dyDescent="0.35"/>
    <row r="672" s="3" customFormat="1" ht="12.75" customHeight="1" x14ac:dyDescent="0.35"/>
    <row r="673" s="3" customFormat="1" ht="12.75" customHeight="1" x14ac:dyDescent="0.35"/>
    <row r="674" s="3" customFormat="1" ht="12.75" customHeight="1" x14ac:dyDescent="0.35"/>
    <row r="675" s="3" customFormat="1" ht="12.75" customHeight="1" x14ac:dyDescent="0.35"/>
    <row r="676" s="3" customFormat="1" ht="12.75" customHeight="1" x14ac:dyDescent="0.35"/>
    <row r="677" s="3" customFormat="1" ht="12.75" customHeight="1" x14ac:dyDescent="0.35"/>
    <row r="678" s="3" customFormat="1" ht="12.75" customHeight="1" x14ac:dyDescent="0.35"/>
    <row r="679" s="3" customFormat="1" ht="12.75" customHeight="1" x14ac:dyDescent="0.35"/>
    <row r="680" s="3" customFormat="1" ht="12.75" customHeight="1" x14ac:dyDescent="0.35"/>
    <row r="681" s="3" customFormat="1" ht="12.75" customHeight="1" x14ac:dyDescent="0.35"/>
    <row r="682" s="3" customFormat="1" ht="12.75" customHeight="1" x14ac:dyDescent="0.35"/>
    <row r="683" s="3" customFormat="1" ht="12.75" customHeight="1" x14ac:dyDescent="0.35"/>
    <row r="684" s="3" customFormat="1" ht="12.75" customHeight="1" x14ac:dyDescent="0.35"/>
    <row r="685" s="3" customFormat="1" ht="12.75" customHeight="1" x14ac:dyDescent="0.35"/>
    <row r="686" s="3" customFormat="1" ht="12.75" customHeight="1" x14ac:dyDescent="0.35"/>
    <row r="687" s="3" customFormat="1" ht="12.75" customHeight="1" x14ac:dyDescent="0.35"/>
    <row r="688" s="3" customFormat="1" ht="12.75" customHeight="1" x14ac:dyDescent="0.35"/>
    <row r="689" s="3" customFormat="1" ht="12.75" customHeight="1" x14ac:dyDescent="0.35"/>
    <row r="690" s="3" customFormat="1" ht="12.75" customHeight="1" x14ac:dyDescent="0.35"/>
    <row r="691" s="3" customFormat="1" ht="12.75" customHeight="1" x14ac:dyDescent="0.35"/>
    <row r="692" s="3" customFormat="1" ht="12.75" customHeight="1" x14ac:dyDescent="0.35"/>
    <row r="693" s="3" customFormat="1" ht="12.75" customHeight="1" x14ac:dyDescent="0.35"/>
    <row r="694" s="3" customFormat="1" ht="12.75" customHeight="1" x14ac:dyDescent="0.35"/>
    <row r="695" s="3" customFormat="1" ht="12.75" customHeight="1" x14ac:dyDescent="0.35"/>
    <row r="696" s="3" customFormat="1" ht="12.75" customHeight="1" x14ac:dyDescent="0.35"/>
    <row r="697" s="3" customFormat="1" ht="12.75" customHeight="1" x14ac:dyDescent="0.35"/>
    <row r="698" s="3" customFormat="1" ht="12.75" customHeight="1" x14ac:dyDescent="0.35"/>
    <row r="699" s="3" customFormat="1" ht="12.75" customHeight="1" x14ac:dyDescent="0.35"/>
    <row r="700" s="3" customFormat="1" ht="12.75" customHeight="1" x14ac:dyDescent="0.35"/>
    <row r="701" s="3" customFormat="1" ht="12.75" customHeight="1" x14ac:dyDescent="0.35"/>
    <row r="702" s="3" customFormat="1" ht="12.75" customHeight="1" x14ac:dyDescent="0.35"/>
    <row r="703" s="3" customFormat="1" ht="12.75" customHeight="1" x14ac:dyDescent="0.35"/>
    <row r="704" s="3" customFormat="1" ht="12.75" customHeight="1" x14ac:dyDescent="0.35"/>
    <row r="705" s="3" customFormat="1" ht="12.75" customHeight="1" x14ac:dyDescent="0.35"/>
    <row r="706" s="3" customFormat="1" ht="12.75" customHeight="1" x14ac:dyDescent="0.35"/>
    <row r="707" s="3" customFormat="1" ht="12.75" customHeight="1" x14ac:dyDescent="0.35"/>
    <row r="708" s="3" customFormat="1" ht="12.75" customHeight="1" x14ac:dyDescent="0.35"/>
    <row r="709" s="3" customFormat="1" ht="12.75" customHeight="1" x14ac:dyDescent="0.35"/>
    <row r="710" s="3" customFormat="1" ht="12.75" customHeight="1" x14ac:dyDescent="0.35"/>
    <row r="711" s="3" customFormat="1" ht="12.75" customHeight="1" x14ac:dyDescent="0.35"/>
    <row r="712" s="3" customFormat="1" ht="12.75" customHeight="1" x14ac:dyDescent="0.35"/>
    <row r="713" s="3" customFormat="1" ht="12.75" customHeight="1" x14ac:dyDescent="0.35"/>
    <row r="714" s="3" customFormat="1" ht="12.75" customHeight="1" x14ac:dyDescent="0.35"/>
    <row r="715" s="3" customFormat="1" ht="12.75" customHeight="1" x14ac:dyDescent="0.35"/>
    <row r="716" s="3" customFormat="1" ht="12.75" customHeight="1" x14ac:dyDescent="0.35"/>
    <row r="717" s="3" customFormat="1" ht="12.75" customHeight="1" x14ac:dyDescent="0.35"/>
    <row r="718" s="3" customFormat="1" ht="12.75" customHeight="1" x14ac:dyDescent="0.35"/>
    <row r="719" s="3" customFormat="1" ht="12.75" customHeight="1" x14ac:dyDescent="0.35"/>
    <row r="720" s="3" customFormat="1" ht="12.75" customHeight="1" x14ac:dyDescent="0.35"/>
    <row r="721" s="3" customFormat="1" ht="12.75" customHeight="1" x14ac:dyDescent="0.35"/>
    <row r="722" s="3" customFormat="1" ht="12.75" customHeight="1" x14ac:dyDescent="0.35"/>
    <row r="723" s="3" customFormat="1" ht="12.75" customHeight="1" x14ac:dyDescent="0.35"/>
    <row r="724" s="3" customFormat="1" ht="12.75" customHeight="1" x14ac:dyDescent="0.35"/>
    <row r="725" s="3" customFormat="1" ht="12.75" customHeight="1" x14ac:dyDescent="0.35"/>
    <row r="726" s="3" customFormat="1" ht="12.75" customHeight="1" x14ac:dyDescent="0.35"/>
    <row r="727" s="3" customFormat="1" ht="12.75" customHeight="1" x14ac:dyDescent="0.35"/>
    <row r="728" s="3" customFormat="1" ht="12.75" customHeight="1" x14ac:dyDescent="0.35"/>
    <row r="729" s="3" customFormat="1" ht="12.75" customHeight="1" x14ac:dyDescent="0.35"/>
    <row r="730" s="3" customFormat="1" ht="12.75" customHeight="1" x14ac:dyDescent="0.35"/>
    <row r="731" s="3" customFormat="1" ht="12.75" customHeight="1" x14ac:dyDescent="0.35"/>
    <row r="732" s="3" customFormat="1" ht="12.75" customHeight="1" x14ac:dyDescent="0.35"/>
    <row r="733" s="3" customFormat="1" ht="12.75" customHeight="1" x14ac:dyDescent="0.35"/>
    <row r="734" s="3" customFormat="1" ht="12.75" customHeight="1" x14ac:dyDescent="0.35"/>
    <row r="735" s="3" customFormat="1" ht="12.75" customHeight="1" x14ac:dyDescent="0.35"/>
    <row r="736" s="3" customFormat="1" ht="12.75" customHeight="1" x14ac:dyDescent="0.35"/>
    <row r="737" s="3" customFormat="1" ht="12.75" customHeight="1" x14ac:dyDescent="0.35"/>
    <row r="738" s="3" customFormat="1" ht="12.75" customHeight="1" x14ac:dyDescent="0.35"/>
    <row r="739" s="3" customFormat="1" ht="12.75" customHeight="1" x14ac:dyDescent="0.35"/>
    <row r="740" s="3" customFormat="1" ht="12.75" customHeight="1" x14ac:dyDescent="0.35"/>
    <row r="741" s="3" customFormat="1" ht="12.75" customHeight="1" x14ac:dyDescent="0.35"/>
    <row r="742" s="3" customFormat="1" ht="12.75" customHeight="1" x14ac:dyDescent="0.35"/>
    <row r="743" s="3" customFormat="1" ht="12.75" customHeight="1" x14ac:dyDescent="0.35"/>
    <row r="744" s="3" customFormat="1" ht="12.75" customHeight="1" x14ac:dyDescent="0.35"/>
    <row r="745" s="3" customFormat="1" ht="12.75" customHeight="1" x14ac:dyDescent="0.35"/>
    <row r="746" s="3" customFormat="1" ht="12.75" customHeight="1" x14ac:dyDescent="0.35"/>
    <row r="747" s="3" customFormat="1" ht="12.75" customHeight="1" x14ac:dyDescent="0.35"/>
    <row r="748" s="3" customFormat="1" ht="12.75" customHeight="1" x14ac:dyDescent="0.35"/>
    <row r="749" s="3" customFormat="1" ht="12.75" customHeight="1" x14ac:dyDescent="0.35"/>
    <row r="750" s="3" customFormat="1" ht="12.75" customHeight="1" x14ac:dyDescent="0.35"/>
    <row r="751" s="3" customFormat="1" ht="12.75" customHeight="1" x14ac:dyDescent="0.35"/>
    <row r="752" s="3" customFormat="1" ht="12.75" customHeight="1" x14ac:dyDescent="0.35"/>
    <row r="753" s="3" customFormat="1" ht="12.75" customHeight="1" x14ac:dyDescent="0.35"/>
    <row r="754" s="3" customFormat="1" ht="12.75" customHeight="1" x14ac:dyDescent="0.35"/>
    <row r="755" s="3" customFormat="1" ht="12.75" customHeight="1" x14ac:dyDescent="0.35"/>
    <row r="756" s="3" customFormat="1" ht="12.75" customHeight="1" x14ac:dyDescent="0.35"/>
    <row r="757" s="3" customFormat="1" ht="12.75" customHeight="1" x14ac:dyDescent="0.35"/>
    <row r="758" s="3" customFormat="1" ht="12.75" customHeight="1" x14ac:dyDescent="0.35"/>
    <row r="759" s="3" customFormat="1" ht="12.75" customHeight="1" x14ac:dyDescent="0.35"/>
    <row r="760" s="3" customFormat="1" ht="12.75" customHeight="1" x14ac:dyDescent="0.35"/>
    <row r="761" s="3" customFormat="1" ht="12.75" customHeight="1" x14ac:dyDescent="0.35"/>
    <row r="762" s="3" customFormat="1" ht="12.75" customHeight="1" x14ac:dyDescent="0.35"/>
    <row r="763" s="3" customFormat="1" ht="12.75" customHeight="1" x14ac:dyDescent="0.35"/>
    <row r="764" s="3" customFormat="1" ht="12.75" customHeight="1" x14ac:dyDescent="0.35"/>
    <row r="765" s="3" customFormat="1" ht="12.75" customHeight="1" x14ac:dyDescent="0.35"/>
    <row r="766" s="3" customFormat="1" ht="12.75" customHeight="1" x14ac:dyDescent="0.35"/>
    <row r="767" s="3" customFormat="1" ht="12.75" customHeight="1" x14ac:dyDescent="0.35"/>
    <row r="768" s="3" customFormat="1" ht="12.75" customHeight="1" x14ac:dyDescent="0.35"/>
    <row r="769" s="3" customFormat="1" ht="12.75" customHeight="1" x14ac:dyDescent="0.35"/>
    <row r="770" s="3" customFormat="1" ht="12.75" customHeight="1" x14ac:dyDescent="0.35"/>
    <row r="771" s="3" customFormat="1" ht="12.75" customHeight="1" x14ac:dyDescent="0.35"/>
    <row r="772" s="3" customFormat="1" ht="12.75" customHeight="1" x14ac:dyDescent="0.35"/>
    <row r="773" s="3" customFormat="1" ht="12.75" customHeight="1" x14ac:dyDescent="0.35"/>
    <row r="774" s="3" customFormat="1" ht="12.75" customHeight="1" x14ac:dyDescent="0.35"/>
    <row r="775" s="3" customFormat="1" ht="12.75" customHeight="1" x14ac:dyDescent="0.35"/>
    <row r="776" s="3" customFormat="1" ht="12.75" customHeight="1" x14ac:dyDescent="0.35"/>
    <row r="777" s="3" customFormat="1" ht="12.75" customHeight="1" x14ac:dyDescent="0.35"/>
    <row r="778" s="3" customFormat="1" ht="12.75" customHeight="1" x14ac:dyDescent="0.35"/>
    <row r="779" s="3" customFormat="1" ht="12.75" customHeight="1" x14ac:dyDescent="0.35"/>
    <row r="780" s="3" customFormat="1" ht="12.75" customHeight="1" x14ac:dyDescent="0.35"/>
    <row r="781" s="3" customFormat="1" ht="12.75" customHeight="1" x14ac:dyDescent="0.35"/>
    <row r="782" s="3" customFormat="1" ht="12.75" customHeight="1" x14ac:dyDescent="0.35"/>
    <row r="783" s="3" customFormat="1" ht="12.75" customHeight="1" x14ac:dyDescent="0.35"/>
    <row r="784" s="3" customFormat="1" ht="12.75" customHeight="1" x14ac:dyDescent="0.35"/>
    <row r="785" s="3" customFormat="1" ht="12.75" customHeight="1" x14ac:dyDescent="0.35"/>
    <row r="786" s="3" customFormat="1" ht="12.75" customHeight="1" x14ac:dyDescent="0.35"/>
    <row r="787" s="3" customFormat="1" ht="12.75" customHeight="1" x14ac:dyDescent="0.35"/>
    <row r="788" s="3" customFormat="1" ht="12.75" customHeight="1" x14ac:dyDescent="0.35"/>
    <row r="789" s="3" customFormat="1" ht="12.75" customHeight="1" x14ac:dyDescent="0.35"/>
    <row r="790" s="3" customFormat="1" ht="12.75" customHeight="1" x14ac:dyDescent="0.35"/>
    <row r="791" s="3" customFormat="1" ht="12.75" customHeight="1" x14ac:dyDescent="0.35"/>
    <row r="792" s="3" customFormat="1" ht="12.75" customHeight="1" x14ac:dyDescent="0.35"/>
    <row r="793" s="3" customFormat="1" ht="12.75" customHeight="1" x14ac:dyDescent="0.35"/>
    <row r="794" s="3" customFormat="1" ht="12.75" customHeight="1" x14ac:dyDescent="0.35"/>
    <row r="795" s="3" customFormat="1" ht="12.75" customHeight="1" x14ac:dyDescent="0.35"/>
    <row r="796" s="3" customFormat="1" ht="12.75" customHeight="1" x14ac:dyDescent="0.35"/>
    <row r="797" s="3" customFormat="1" ht="12.75" customHeight="1" x14ac:dyDescent="0.35"/>
    <row r="798" s="3" customFormat="1" ht="12.75" customHeight="1" x14ac:dyDescent="0.35"/>
    <row r="799" s="3" customFormat="1" ht="12.75" customHeight="1" x14ac:dyDescent="0.35"/>
    <row r="800" s="3" customFormat="1" ht="12.75" customHeight="1" x14ac:dyDescent="0.35"/>
    <row r="801" s="3" customFormat="1" ht="12.75" customHeight="1" x14ac:dyDescent="0.35"/>
    <row r="802" s="3" customFormat="1" ht="12.75" customHeight="1" x14ac:dyDescent="0.35"/>
    <row r="803" s="3" customFormat="1" ht="12.75" customHeight="1" x14ac:dyDescent="0.35"/>
    <row r="804" s="3" customFormat="1" ht="12.75" customHeight="1" x14ac:dyDescent="0.35"/>
    <row r="805" s="3" customFormat="1" ht="12.75" customHeight="1" x14ac:dyDescent="0.35"/>
    <row r="806" s="3" customFormat="1" ht="12.75" customHeight="1" x14ac:dyDescent="0.35"/>
    <row r="807" s="3" customFormat="1" ht="12.75" customHeight="1" x14ac:dyDescent="0.35"/>
    <row r="808" s="3" customFormat="1" ht="12.75" customHeight="1" x14ac:dyDescent="0.35"/>
    <row r="809" s="3" customFormat="1" ht="12.75" customHeight="1" x14ac:dyDescent="0.35"/>
    <row r="810" s="3" customFormat="1" ht="12.75" customHeight="1" x14ac:dyDescent="0.35"/>
    <row r="811" s="3" customFormat="1" ht="12.75" customHeight="1" x14ac:dyDescent="0.35"/>
    <row r="812" s="3" customFormat="1" ht="12.75" customHeight="1" x14ac:dyDescent="0.35"/>
    <row r="813" s="3" customFormat="1" ht="12.75" customHeight="1" x14ac:dyDescent="0.35"/>
    <row r="814" s="3" customFormat="1" ht="12.75" customHeight="1" x14ac:dyDescent="0.35"/>
    <row r="815" s="3" customFormat="1" ht="12.75" customHeight="1" x14ac:dyDescent="0.35"/>
    <row r="816" s="3" customFormat="1" ht="12.75" customHeight="1" x14ac:dyDescent="0.35"/>
    <row r="817" s="3" customFormat="1" ht="12.75" customHeight="1" x14ac:dyDescent="0.35"/>
    <row r="818" s="3" customFormat="1" ht="12.75" customHeight="1" x14ac:dyDescent="0.35"/>
    <row r="819" s="3" customFormat="1" ht="12.75" customHeight="1" x14ac:dyDescent="0.35"/>
    <row r="820" s="3" customFormat="1" ht="12.75" customHeight="1" x14ac:dyDescent="0.35"/>
    <row r="821" s="3" customFormat="1" ht="12.75" customHeight="1" x14ac:dyDescent="0.35"/>
    <row r="822" s="3" customFormat="1" ht="12.75" customHeight="1" x14ac:dyDescent="0.35"/>
    <row r="823" s="3" customFormat="1" ht="12.75" customHeight="1" x14ac:dyDescent="0.35"/>
    <row r="824" s="3" customFormat="1" ht="12.75" customHeight="1" x14ac:dyDescent="0.35"/>
    <row r="825" s="3" customFormat="1" ht="12.75" customHeight="1" x14ac:dyDescent="0.35"/>
    <row r="826" s="3" customFormat="1" ht="12.75" customHeight="1" x14ac:dyDescent="0.35"/>
    <row r="827" s="3" customFormat="1" ht="12.75" customHeight="1" x14ac:dyDescent="0.35"/>
    <row r="828" s="3" customFormat="1" ht="12.75" customHeight="1" x14ac:dyDescent="0.35"/>
    <row r="829" s="3" customFormat="1" ht="12.75" customHeight="1" x14ac:dyDescent="0.35"/>
    <row r="830" s="3" customFormat="1" ht="12.75" customHeight="1" x14ac:dyDescent="0.35"/>
    <row r="831" s="3" customFormat="1" ht="12.75" customHeight="1" x14ac:dyDescent="0.35"/>
    <row r="832" s="3" customFormat="1" ht="12.75" customHeight="1" x14ac:dyDescent="0.35"/>
    <row r="833" s="3" customFormat="1" ht="12.75" customHeight="1" x14ac:dyDescent="0.35"/>
    <row r="834" s="3" customFormat="1" ht="12.75" customHeight="1" x14ac:dyDescent="0.35"/>
    <row r="835" s="3" customFormat="1" ht="12.75" customHeight="1" x14ac:dyDescent="0.35"/>
    <row r="836" s="3" customFormat="1" ht="12.75" customHeight="1" x14ac:dyDescent="0.35"/>
    <row r="837" s="3" customFormat="1" ht="12.75" customHeight="1" x14ac:dyDescent="0.35"/>
    <row r="838" s="3" customFormat="1" ht="12.75" customHeight="1" x14ac:dyDescent="0.35"/>
    <row r="839" s="3" customFormat="1" ht="12.75" customHeight="1" x14ac:dyDescent="0.35"/>
    <row r="840" s="3" customFormat="1" ht="12.75" customHeight="1" x14ac:dyDescent="0.35"/>
    <row r="841" s="3" customFormat="1" ht="12.75" customHeight="1" x14ac:dyDescent="0.35"/>
    <row r="842" s="3" customFormat="1" ht="12.75" customHeight="1" x14ac:dyDescent="0.35"/>
    <row r="843" s="3" customFormat="1" ht="12.75" customHeight="1" x14ac:dyDescent="0.35"/>
    <row r="844" s="3" customFormat="1" ht="12.75" customHeight="1" x14ac:dyDescent="0.35"/>
    <row r="845" s="3" customFormat="1" ht="12.75" customHeight="1" x14ac:dyDescent="0.35"/>
    <row r="846" s="3" customFormat="1" ht="12.75" customHeight="1" x14ac:dyDescent="0.35"/>
    <row r="847" s="3" customFormat="1" ht="12.75" customHeight="1" x14ac:dyDescent="0.35"/>
    <row r="848" s="3" customFormat="1" ht="12.75" customHeight="1" x14ac:dyDescent="0.35"/>
    <row r="849" s="3" customFormat="1" ht="12.75" customHeight="1" x14ac:dyDescent="0.35"/>
    <row r="850" s="3" customFormat="1" ht="12.75" customHeight="1" x14ac:dyDescent="0.35"/>
    <row r="851" s="3" customFormat="1" ht="12.75" customHeight="1" x14ac:dyDescent="0.35"/>
    <row r="852" s="3" customFormat="1" ht="12.75" customHeight="1" x14ac:dyDescent="0.35"/>
    <row r="853" s="3" customFormat="1" ht="12.75" customHeight="1" x14ac:dyDescent="0.35"/>
    <row r="854" s="3" customFormat="1" ht="12.75" customHeight="1" x14ac:dyDescent="0.35"/>
    <row r="855" s="3" customFormat="1" ht="12.75" customHeight="1" x14ac:dyDescent="0.35"/>
    <row r="856" s="3" customFormat="1" ht="12.75" customHeight="1" x14ac:dyDescent="0.35"/>
    <row r="857" s="3" customFormat="1" ht="12.75" customHeight="1" x14ac:dyDescent="0.35"/>
    <row r="858" s="3" customFormat="1" ht="12.75" customHeight="1" x14ac:dyDescent="0.35"/>
    <row r="859" s="3" customFormat="1" ht="12.75" customHeight="1" x14ac:dyDescent="0.35"/>
    <row r="860" s="3" customFormat="1" ht="12.75" customHeight="1" x14ac:dyDescent="0.35"/>
    <row r="861" s="3" customFormat="1" ht="12.75" customHeight="1" x14ac:dyDescent="0.35"/>
    <row r="862" s="3" customFormat="1" ht="12.75" customHeight="1" x14ac:dyDescent="0.35"/>
    <row r="863" s="3" customFormat="1" ht="12.75" customHeight="1" x14ac:dyDescent="0.35"/>
    <row r="864" s="3" customFormat="1" ht="12.75" customHeight="1" x14ac:dyDescent="0.35"/>
    <row r="865" s="3" customFormat="1" ht="12.75" customHeight="1" x14ac:dyDescent="0.35"/>
    <row r="866" s="3" customFormat="1" ht="12.75" customHeight="1" x14ac:dyDescent="0.35"/>
    <row r="867" s="3" customFormat="1" ht="12.75" customHeight="1" x14ac:dyDescent="0.35"/>
    <row r="868" s="3" customFormat="1" ht="12.75" customHeight="1" x14ac:dyDescent="0.35"/>
    <row r="869" s="3" customFormat="1" ht="12.75" customHeight="1" x14ac:dyDescent="0.35"/>
    <row r="870" s="3" customFormat="1" ht="12.75" customHeight="1" x14ac:dyDescent="0.35"/>
    <row r="871" s="3" customFormat="1" ht="12.75" customHeight="1" x14ac:dyDescent="0.35"/>
    <row r="872" s="3" customFormat="1" ht="12.75" customHeight="1" x14ac:dyDescent="0.35"/>
    <row r="873" s="3" customFormat="1" ht="12.75" customHeight="1" x14ac:dyDescent="0.35"/>
    <row r="874" s="3" customFormat="1" ht="12.75" customHeight="1" x14ac:dyDescent="0.35"/>
    <row r="875" s="3" customFormat="1" ht="12.75" customHeight="1" x14ac:dyDescent="0.35"/>
    <row r="876" s="3" customFormat="1" ht="12.75" customHeight="1" x14ac:dyDescent="0.35"/>
    <row r="877" s="3" customFormat="1" ht="12.75" customHeight="1" x14ac:dyDescent="0.35"/>
    <row r="878" s="3" customFormat="1" ht="12.75" customHeight="1" x14ac:dyDescent="0.35"/>
    <row r="879" s="3" customFormat="1" ht="12.75" customHeight="1" x14ac:dyDescent="0.35"/>
    <row r="880" s="3" customFormat="1" ht="12.75" customHeight="1" x14ac:dyDescent="0.35"/>
    <row r="881" s="3" customFormat="1" ht="12.75" customHeight="1" x14ac:dyDescent="0.35"/>
    <row r="882" s="3" customFormat="1" ht="12.75" customHeight="1" x14ac:dyDescent="0.35"/>
    <row r="883" s="3" customFormat="1" ht="12.75" customHeight="1" x14ac:dyDescent="0.35"/>
    <row r="884" s="3" customFormat="1" ht="12.75" customHeight="1" x14ac:dyDescent="0.35"/>
    <row r="885" s="3" customFormat="1" ht="12.75" customHeight="1" x14ac:dyDescent="0.35"/>
    <row r="886" s="3" customFormat="1" ht="12.75" customHeight="1" x14ac:dyDescent="0.35"/>
    <row r="887" s="3" customFormat="1" ht="12.75" customHeight="1" x14ac:dyDescent="0.35"/>
    <row r="888" s="3" customFormat="1" ht="12.75" customHeight="1" x14ac:dyDescent="0.35"/>
    <row r="889" s="3" customFormat="1" ht="12.75" customHeight="1" x14ac:dyDescent="0.35"/>
    <row r="890" s="3" customFormat="1" ht="12.75" customHeight="1" x14ac:dyDescent="0.35"/>
    <row r="891" s="3" customFormat="1" ht="12.75" customHeight="1" x14ac:dyDescent="0.35"/>
    <row r="892" s="3" customFormat="1" ht="12.75" customHeight="1" x14ac:dyDescent="0.35"/>
    <row r="893" s="3" customFormat="1" ht="12.75" customHeight="1" x14ac:dyDescent="0.35"/>
    <row r="894" s="3" customFormat="1" ht="12.75" customHeight="1" x14ac:dyDescent="0.35"/>
    <row r="895" s="3" customFormat="1" ht="12.75" customHeight="1" x14ac:dyDescent="0.35"/>
    <row r="896" s="3" customFormat="1" ht="12.75" customHeight="1" x14ac:dyDescent="0.35"/>
    <row r="897" s="3" customFormat="1" ht="12.75" customHeight="1" x14ac:dyDescent="0.35"/>
    <row r="898" s="3" customFormat="1" ht="12.75" customHeight="1" x14ac:dyDescent="0.35"/>
    <row r="899" s="3" customFormat="1" ht="12.75" customHeight="1" x14ac:dyDescent="0.35"/>
    <row r="900" s="3" customFormat="1" ht="12.75" customHeight="1" x14ac:dyDescent="0.35"/>
    <row r="901" s="3" customFormat="1" ht="12.75" customHeight="1" x14ac:dyDescent="0.35"/>
    <row r="902" s="3" customFormat="1" ht="12.75" customHeight="1" x14ac:dyDescent="0.35"/>
    <row r="903" s="3" customFormat="1" ht="12.75" customHeight="1" x14ac:dyDescent="0.35"/>
    <row r="904" s="3" customFormat="1" ht="12.75" customHeight="1" x14ac:dyDescent="0.35"/>
    <row r="905" s="3" customFormat="1" ht="12.75" customHeight="1" x14ac:dyDescent="0.35"/>
    <row r="906" s="3" customFormat="1" ht="12.75" customHeight="1" x14ac:dyDescent="0.35"/>
    <row r="907" s="3" customFormat="1" ht="12.75" customHeight="1" x14ac:dyDescent="0.35"/>
    <row r="908" s="3" customFormat="1" ht="12.75" customHeight="1" x14ac:dyDescent="0.35"/>
    <row r="909" s="3" customFormat="1" ht="12.75" customHeight="1" x14ac:dyDescent="0.35"/>
    <row r="910" s="3" customFormat="1" ht="12.75" customHeight="1" x14ac:dyDescent="0.35"/>
    <row r="911" s="3" customFormat="1" ht="12.75" customHeight="1" x14ac:dyDescent="0.35"/>
    <row r="912" s="3" customFormat="1" ht="12.75" customHeight="1" x14ac:dyDescent="0.35"/>
    <row r="913" s="3" customFormat="1" ht="12.75" customHeight="1" x14ac:dyDescent="0.35"/>
    <row r="914" s="3" customFormat="1" ht="12.75" customHeight="1" x14ac:dyDescent="0.35"/>
    <row r="915" s="3" customFormat="1" ht="12.75" customHeight="1" x14ac:dyDescent="0.35"/>
    <row r="916" s="3" customFormat="1" ht="12.75" customHeight="1" x14ac:dyDescent="0.35"/>
    <row r="917" s="3" customFormat="1" ht="12.75" customHeight="1" x14ac:dyDescent="0.35"/>
    <row r="918" s="3" customFormat="1" ht="12.75" customHeight="1" x14ac:dyDescent="0.35"/>
    <row r="919" s="3" customFormat="1" ht="12.75" customHeight="1" x14ac:dyDescent="0.35"/>
    <row r="920" s="3" customFormat="1" ht="12.75" customHeight="1" x14ac:dyDescent="0.35"/>
    <row r="921" s="3" customFormat="1" ht="12.75" customHeight="1" x14ac:dyDescent="0.35"/>
    <row r="922" s="3" customFormat="1" ht="12.75" customHeight="1" x14ac:dyDescent="0.35"/>
    <row r="923" s="3" customFormat="1" ht="12.75" customHeight="1" x14ac:dyDescent="0.35"/>
    <row r="924" s="3" customFormat="1" ht="12.75" customHeight="1" x14ac:dyDescent="0.35"/>
    <row r="925" s="3" customFormat="1" ht="12.75" customHeight="1" x14ac:dyDescent="0.35"/>
    <row r="926" s="3" customFormat="1" ht="12.75" customHeight="1" x14ac:dyDescent="0.35"/>
    <row r="927" s="3" customFormat="1" ht="12.75" customHeight="1" x14ac:dyDescent="0.35"/>
    <row r="928" s="3" customFormat="1" ht="12.75" customHeight="1" x14ac:dyDescent="0.35"/>
    <row r="929" s="3" customFormat="1" ht="12.75" customHeight="1" x14ac:dyDescent="0.35"/>
    <row r="930" s="3" customFormat="1" ht="12.75" customHeight="1" x14ac:dyDescent="0.35"/>
    <row r="931" s="3" customFormat="1" ht="12.75" customHeight="1" x14ac:dyDescent="0.35"/>
    <row r="932" s="3" customFormat="1" ht="12.75" customHeight="1" x14ac:dyDescent="0.35"/>
    <row r="933" s="3" customFormat="1" ht="12.75" customHeight="1" x14ac:dyDescent="0.35"/>
    <row r="934" s="3" customFormat="1" ht="12.75" customHeight="1" x14ac:dyDescent="0.35"/>
    <row r="935" s="3" customFormat="1" ht="12.75" customHeight="1" x14ac:dyDescent="0.35"/>
    <row r="936" s="3" customFormat="1" ht="12.75" customHeight="1" x14ac:dyDescent="0.35"/>
    <row r="937" s="3" customFormat="1" ht="12.75" customHeight="1" x14ac:dyDescent="0.35"/>
    <row r="938" s="3" customFormat="1" ht="12.75" customHeight="1" x14ac:dyDescent="0.35"/>
    <row r="939" s="3" customFormat="1" ht="12.75" customHeight="1" x14ac:dyDescent="0.35"/>
    <row r="940" s="3" customFormat="1" ht="12.75" customHeight="1" x14ac:dyDescent="0.35"/>
    <row r="941" s="3" customFormat="1" ht="12.75" customHeight="1" x14ac:dyDescent="0.35"/>
    <row r="942" s="3" customFormat="1" ht="12.75" customHeight="1" x14ac:dyDescent="0.35"/>
    <row r="943" s="3" customFormat="1" ht="12.75" customHeight="1" x14ac:dyDescent="0.35"/>
    <row r="944" s="3" customFormat="1" ht="12.75" customHeight="1" x14ac:dyDescent="0.35"/>
    <row r="945" s="3" customFormat="1" ht="12.75" customHeight="1" x14ac:dyDescent="0.35"/>
    <row r="946" s="3" customFormat="1" ht="12.75" customHeight="1" x14ac:dyDescent="0.35"/>
    <row r="947" s="3" customFormat="1" ht="12.75" customHeight="1" x14ac:dyDescent="0.35"/>
    <row r="948" s="3" customFormat="1" ht="12.75" customHeight="1" x14ac:dyDescent="0.35"/>
    <row r="949" s="3" customFormat="1" ht="12.75" customHeight="1" x14ac:dyDescent="0.35"/>
    <row r="950" s="3" customFormat="1" ht="12.75" customHeight="1" x14ac:dyDescent="0.35"/>
    <row r="951" s="3" customFormat="1" ht="12.75" customHeight="1" x14ac:dyDescent="0.35"/>
    <row r="952" s="3" customFormat="1" ht="12.75" customHeight="1" x14ac:dyDescent="0.35"/>
    <row r="953" s="3" customFormat="1" ht="12.75" customHeight="1" x14ac:dyDescent="0.35"/>
    <row r="954" s="3" customFormat="1" ht="12.75" customHeight="1" x14ac:dyDescent="0.35"/>
    <row r="955" s="3" customFormat="1" ht="12.75" customHeight="1" x14ac:dyDescent="0.35"/>
    <row r="956" s="3" customFormat="1" ht="12.75" customHeight="1" x14ac:dyDescent="0.35"/>
    <row r="957" s="3" customFormat="1" ht="12.75" customHeight="1" x14ac:dyDescent="0.35"/>
    <row r="958" s="3" customFormat="1" ht="12.75" customHeight="1" x14ac:dyDescent="0.35"/>
    <row r="959" s="3" customFormat="1" ht="12.75" customHeight="1" x14ac:dyDescent="0.35"/>
    <row r="960" s="3" customFormat="1" ht="12.75" customHeight="1" x14ac:dyDescent="0.35"/>
    <row r="961" s="3" customFormat="1" ht="12.75" customHeight="1" x14ac:dyDescent="0.35"/>
    <row r="962" s="3" customFormat="1" ht="12.75" customHeight="1" x14ac:dyDescent="0.35"/>
    <row r="963" s="3" customFormat="1" ht="12.75" customHeight="1" x14ac:dyDescent="0.35"/>
    <row r="964" s="3" customFormat="1" ht="12.75" customHeight="1" x14ac:dyDescent="0.35"/>
    <row r="965" s="3" customFormat="1" ht="12.75" customHeight="1" x14ac:dyDescent="0.35"/>
    <row r="966" s="3" customFormat="1" ht="12.75" customHeight="1" x14ac:dyDescent="0.35"/>
    <row r="967" s="3" customFormat="1" ht="12.75" customHeight="1" x14ac:dyDescent="0.35"/>
    <row r="968" s="3" customFormat="1" ht="12.75" customHeight="1" x14ac:dyDescent="0.35"/>
    <row r="969" s="3" customFormat="1" ht="12.75" customHeight="1" x14ac:dyDescent="0.35"/>
    <row r="970" s="3" customFormat="1" ht="12.75" customHeight="1" x14ac:dyDescent="0.35"/>
    <row r="971" s="3" customFormat="1" ht="12.75" customHeight="1" x14ac:dyDescent="0.35"/>
    <row r="972" s="3" customFormat="1" ht="12.75" customHeight="1" x14ac:dyDescent="0.35"/>
    <row r="973" s="3" customFormat="1" ht="12.75" customHeight="1" x14ac:dyDescent="0.35"/>
    <row r="974" s="3" customFormat="1" ht="12.75" customHeight="1" x14ac:dyDescent="0.35"/>
    <row r="975" s="3" customFormat="1" ht="12.75" customHeight="1" x14ac:dyDescent="0.35"/>
    <row r="976" s="3" customFormat="1" ht="12.75" customHeight="1" x14ac:dyDescent="0.35"/>
    <row r="977" s="3" customFormat="1" ht="12.75" customHeight="1" x14ac:dyDescent="0.35"/>
    <row r="978" s="3" customFormat="1" ht="12.75" customHeight="1" x14ac:dyDescent="0.35"/>
    <row r="979" s="3" customFormat="1" ht="12.75" customHeight="1" x14ac:dyDescent="0.35"/>
    <row r="980" s="3" customFormat="1" ht="12.75" customHeight="1" x14ac:dyDescent="0.35"/>
    <row r="981" s="3" customFormat="1" ht="12.75" customHeight="1" x14ac:dyDescent="0.35"/>
    <row r="982" s="3" customFormat="1" ht="12.75" customHeight="1" x14ac:dyDescent="0.35"/>
    <row r="983" s="3" customFormat="1" ht="12.75" customHeight="1" x14ac:dyDescent="0.35"/>
    <row r="984" s="3" customFormat="1" ht="12.75" customHeight="1" x14ac:dyDescent="0.35"/>
    <row r="985" s="3" customFormat="1" ht="12.75" customHeight="1" x14ac:dyDescent="0.35"/>
    <row r="986" s="3" customFormat="1" ht="12.75" customHeight="1" x14ac:dyDescent="0.35"/>
    <row r="987" s="3" customFormat="1" ht="12.75" customHeight="1" x14ac:dyDescent="0.35"/>
    <row r="988" s="3" customFormat="1" ht="12.75" customHeight="1" x14ac:dyDescent="0.35"/>
    <row r="989" s="3" customFormat="1" ht="12.75" customHeight="1" x14ac:dyDescent="0.35"/>
    <row r="990" s="3" customFormat="1" ht="12.75" customHeight="1" x14ac:dyDescent="0.35"/>
    <row r="991" s="3" customFormat="1" ht="12.75" customHeight="1" x14ac:dyDescent="0.35"/>
    <row r="992" s="3" customFormat="1" ht="12.75" customHeight="1" x14ac:dyDescent="0.35"/>
    <row r="993" s="3" customFormat="1" ht="12.75" customHeight="1" x14ac:dyDescent="0.35"/>
    <row r="994" s="3" customFormat="1" ht="12.75" customHeight="1" x14ac:dyDescent="0.35"/>
    <row r="995" s="3" customFormat="1" ht="12.75" customHeight="1" x14ac:dyDescent="0.35"/>
    <row r="996" s="3" customFormat="1" ht="12.75" customHeight="1" x14ac:dyDescent="0.35"/>
    <row r="997" s="3" customFormat="1" ht="12.75" customHeight="1" x14ac:dyDescent="0.35"/>
    <row r="998" s="3" customFormat="1" ht="12.75" customHeight="1" x14ac:dyDescent="0.35"/>
    <row r="999" s="3" customFormat="1" ht="12.75" customHeight="1" x14ac:dyDescent="0.35"/>
    <row r="1000" s="3" customFormat="1" ht="12.75" customHeight="1" x14ac:dyDescent="0.35"/>
  </sheetData>
  <mergeCells count="5">
    <mergeCell ref="C4:E4"/>
    <mergeCell ref="C5:E5"/>
    <mergeCell ref="B6:B7"/>
    <mergeCell ref="C6:E7"/>
    <mergeCell ref="B2:G2"/>
  </mergeCells>
  <hyperlinks>
    <hyperlink ref="D11" location="FlyBookingTestCase!A1" display="FlyBookingTestCase!A1" xr:uid="{A4D8DA26-F95D-4E83-8B7D-B50CCDF6BA42}"/>
    <hyperlink ref="H11" r:id="rId1" xr:uid="{D75ACC22-2A6B-4F0F-A476-2F39B66612E2}"/>
  </hyperlinks>
  <pageMargins left="0.7" right="0.7" top="0.75" bottom="0.75" header="0.511811023622047" footer="0"/>
  <pageSetup orientation="landscape" horizontalDpi="300" verticalDpi="300"/>
  <headerFooter>
    <oddFooter>&amp;L01/BM/GSDC/CMCSoft e v1.0&amp;CInternal use&amp;RPage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FF"/>
  </sheetPr>
  <dimension ref="A1:Z1000"/>
  <sheetViews>
    <sheetView zoomScaleNormal="100" workbookViewId="0">
      <selection activeCell="T22" sqref="T22"/>
    </sheetView>
  </sheetViews>
  <sheetFormatPr defaultColWidth="14.453125" defaultRowHeight="16.5" x14ac:dyDescent="0.35"/>
  <cols>
    <col min="1" max="1" width="18.81640625" style="41" customWidth="1"/>
    <col min="2" max="2" width="21.81640625" style="41" customWidth="1"/>
    <col min="3" max="3" width="29.26953125" style="41" customWidth="1"/>
    <col min="4" max="4" width="28.54296875" style="41" hidden="1" customWidth="1"/>
    <col min="5" max="5" width="27.453125" style="41" customWidth="1"/>
    <col min="6" max="6" width="19.26953125" style="41" hidden="1" customWidth="1"/>
    <col min="7" max="7" width="24.08984375" style="41" hidden="1" customWidth="1"/>
    <col min="8" max="8" width="8" style="41" hidden="1" customWidth="1"/>
    <col min="9" max="9" width="18.08984375" style="41" customWidth="1"/>
    <col min="10" max="10" width="16.08984375" style="41" hidden="1" customWidth="1"/>
    <col min="11" max="11" width="8" style="41" hidden="1" customWidth="1"/>
    <col min="12" max="12" width="13.81640625" style="41" hidden="1" customWidth="1"/>
    <col min="13" max="14" width="8" style="41" hidden="1" customWidth="1"/>
    <col min="15" max="15" width="15.453125" style="41" hidden="1" customWidth="1"/>
    <col min="16" max="17" width="8" style="41" hidden="1" customWidth="1"/>
    <col min="18" max="19" width="9.08984375" style="41" customWidth="1"/>
    <col min="20" max="26" width="8" style="41" customWidth="1"/>
    <col min="27" max="16384" width="14.453125" style="41"/>
  </cols>
  <sheetData>
    <row r="1" spans="1:26" ht="12.75" customHeight="1" x14ac:dyDescent="0.35">
      <c r="A1" s="39"/>
      <c r="B1" s="40"/>
      <c r="C1" s="40"/>
      <c r="D1" s="40"/>
      <c r="E1" s="40"/>
      <c r="F1" s="40"/>
      <c r="G1" s="40"/>
      <c r="H1" s="39"/>
      <c r="I1" s="39"/>
      <c r="J1" s="39"/>
      <c r="K1" s="39"/>
      <c r="L1" s="39"/>
      <c r="M1" s="39"/>
      <c r="N1" s="39"/>
      <c r="O1" s="39"/>
      <c r="P1" s="39"/>
      <c r="Q1" s="39"/>
      <c r="R1" s="39"/>
      <c r="S1" s="39"/>
      <c r="T1" s="39"/>
      <c r="U1" s="39"/>
      <c r="V1" s="39"/>
      <c r="W1" s="39"/>
      <c r="X1" s="39"/>
      <c r="Y1" s="39"/>
      <c r="Z1" s="39"/>
    </row>
    <row r="2" spans="1:26" ht="15" customHeight="1" x14ac:dyDescent="0.35">
      <c r="A2" s="10" t="s">
        <v>20</v>
      </c>
      <c r="B2" s="42" t="s">
        <v>21</v>
      </c>
      <c r="C2" s="42"/>
      <c r="D2" s="42"/>
      <c r="E2" s="42"/>
      <c r="F2" s="42"/>
      <c r="G2" s="43"/>
      <c r="H2" s="39" t="s">
        <v>22</v>
      </c>
      <c r="I2" s="39"/>
      <c r="J2" s="39"/>
      <c r="K2" s="39"/>
      <c r="L2" s="39"/>
      <c r="M2" s="39"/>
      <c r="N2" s="39"/>
      <c r="O2" s="39"/>
      <c r="P2" s="39"/>
      <c r="Q2" s="39"/>
      <c r="R2" s="39"/>
      <c r="S2" s="39"/>
      <c r="T2" s="39"/>
      <c r="U2" s="39"/>
      <c r="V2" s="39"/>
      <c r="W2" s="39"/>
      <c r="X2" s="39"/>
      <c r="Y2" s="39"/>
      <c r="Z2" s="39"/>
    </row>
    <row r="3" spans="1:26" ht="12.75" customHeight="1" x14ac:dyDescent="0.35">
      <c r="A3" s="10" t="s">
        <v>23</v>
      </c>
      <c r="B3" s="44" t="s">
        <v>24</v>
      </c>
      <c r="C3" s="44"/>
      <c r="D3" s="44"/>
      <c r="E3" s="44"/>
      <c r="F3" s="44"/>
      <c r="G3" s="43"/>
      <c r="H3" s="39" t="s">
        <v>25</v>
      </c>
      <c r="I3" s="39"/>
      <c r="J3" s="39"/>
      <c r="K3" s="39"/>
      <c r="L3" s="39"/>
      <c r="M3" s="39"/>
      <c r="N3" s="39"/>
      <c r="O3" s="39"/>
      <c r="P3" s="39"/>
      <c r="Q3" s="39"/>
      <c r="R3" s="39"/>
      <c r="S3" s="39"/>
      <c r="T3" s="39"/>
      <c r="U3" s="39"/>
      <c r="V3" s="39"/>
      <c r="W3" s="39"/>
      <c r="X3" s="39"/>
      <c r="Y3" s="39"/>
      <c r="Z3" s="39"/>
    </row>
    <row r="4" spans="1:26" ht="18" customHeight="1" x14ac:dyDescent="0.35">
      <c r="A4" s="10" t="s">
        <v>26</v>
      </c>
      <c r="B4" s="45" t="s">
        <v>22</v>
      </c>
      <c r="C4" s="46" t="s">
        <v>25</v>
      </c>
      <c r="D4" s="46" t="s">
        <v>27</v>
      </c>
      <c r="E4" s="46" t="s">
        <v>28</v>
      </c>
      <c r="F4" s="47" t="s">
        <v>29</v>
      </c>
      <c r="G4" s="48"/>
      <c r="H4" s="49"/>
      <c r="I4" s="50"/>
      <c r="J4" s="39"/>
      <c r="K4" s="39"/>
      <c r="L4" s="39"/>
      <c r="M4" s="39"/>
      <c r="N4" s="39"/>
      <c r="O4" s="39"/>
      <c r="P4" s="39"/>
      <c r="Q4" s="39"/>
      <c r="R4" s="39"/>
      <c r="S4" s="39"/>
      <c r="T4" s="39"/>
      <c r="U4" s="39"/>
      <c r="V4" s="39"/>
      <c r="W4" s="39"/>
      <c r="X4" s="39"/>
      <c r="Y4" s="39"/>
      <c r="Z4" s="39"/>
    </row>
    <row r="5" spans="1:26" ht="19.5" customHeight="1" x14ac:dyDescent="0.35">
      <c r="A5" s="51" t="s">
        <v>30</v>
      </c>
      <c r="B5" s="52">
        <f>COUNTIF(I15:I1003,"Pass")</f>
        <v>0</v>
      </c>
      <c r="C5" s="52">
        <f>COUNTIF(I15:I1003,"Fail")</f>
        <v>0</v>
      </c>
      <c r="D5" s="52">
        <f>COUNTIF(I15:I1003,"Untested")</f>
        <v>0</v>
      </c>
      <c r="E5" s="52">
        <f>COUNTIF(I15:I1003,"N/A")</f>
        <v>51</v>
      </c>
      <c r="F5" s="53">
        <f>COUNTA(B15:B1003)</f>
        <v>51</v>
      </c>
      <c r="G5" s="54"/>
      <c r="H5" s="55"/>
      <c r="I5" s="39"/>
      <c r="J5" s="39"/>
      <c r="K5" s="39"/>
      <c r="L5" s="39"/>
      <c r="M5" s="39"/>
      <c r="N5" s="39"/>
      <c r="O5" s="39"/>
      <c r="P5" s="39"/>
      <c r="Q5" s="39"/>
      <c r="R5" s="39"/>
      <c r="S5" s="39"/>
      <c r="T5" s="39"/>
      <c r="U5" s="39"/>
      <c r="V5" s="39"/>
      <c r="W5" s="39"/>
      <c r="X5" s="39"/>
      <c r="Y5" s="39"/>
      <c r="Z5" s="39"/>
    </row>
    <row r="6" spans="1:26" ht="19.5" customHeight="1" x14ac:dyDescent="0.35">
      <c r="A6" s="51" t="s">
        <v>31</v>
      </c>
      <c r="B6" s="52">
        <f>COUNTIF(R15:R1003,"Pass")</f>
        <v>44</v>
      </c>
      <c r="C6" s="52">
        <f>COUNTIF(R15:R1003,"Fail")</f>
        <v>6</v>
      </c>
      <c r="D6" s="52">
        <f>COUNTIF(R15:R1003,"Untested")</f>
        <v>1</v>
      </c>
      <c r="E6" s="52">
        <f>COUNTIF(R15:R1003,"N/A")</f>
        <v>0</v>
      </c>
      <c r="F6" s="53">
        <f>COUNTA(B15:B1003)</f>
        <v>51</v>
      </c>
      <c r="G6" s="56"/>
      <c r="H6" s="56"/>
      <c r="I6" s="39"/>
      <c r="J6" s="39"/>
      <c r="K6" s="39"/>
      <c r="L6" s="39"/>
      <c r="M6" s="39"/>
      <c r="N6" s="39"/>
      <c r="O6" s="39"/>
      <c r="P6" s="39"/>
      <c r="Q6" s="39"/>
      <c r="R6" s="39"/>
      <c r="S6" s="39"/>
      <c r="T6" s="39"/>
      <c r="U6" s="39"/>
      <c r="V6" s="39"/>
      <c r="W6" s="39"/>
      <c r="X6" s="39"/>
      <c r="Y6" s="39"/>
      <c r="Z6" s="39"/>
    </row>
    <row r="7" spans="1:26" ht="15" customHeight="1" x14ac:dyDescent="0.35">
      <c r="A7" s="51" t="s">
        <v>32</v>
      </c>
      <c r="B7" s="57">
        <f>COUNTIF(S15:S1003,"Pass")</f>
        <v>0</v>
      </c>
      <c r="C7" s="57">
        <f>COUNTIF(S15:S1003,"Fail")</f>
        <v>0</v>
      </c>
      <c r="D7" s="57">
        <f>COUNTIF(S15:S1003,"Untested")</f>
        <v>0</v>
      </c>
      <c r="E7" s="57">
        <f>COUNTIF(S15:S1003,"N/A")</f>
        <v>51</v>
      </c>
      <c r="F7" s="57">
        <f>COUNTA(B15:B1003)</f>
        <v>51</v>
      </c>
      <c r="G7" s="58"/>
      <c r="H7" s="39" t="s">
        <v>28</v>
      </c>
      <c r="I7" s="39"/>
      <c r="J7" s="39"/>
      <c r="K7" s="39"/>
      <c r="L7" s="39"/>
      <c r="M7" s="39"/>
      <c r="N7" s="39"/>
      <c r="O7" s="39"/>
      <c r="P7" s="39"/>
      <c r="Q7" s="39"/>
      <c r="R7" s="39"/>
      <c r="S7" s="39"/>
      <c r="T7" s="39"/>
      <c r="U7" s="39"/>
      <c r="V7" s="39"/>
      <c r="W7" s="39"/>
      <c r="X7" s="39"/>
      <c r="Y7" s="39"/>
      <c r="Z7" s="39"/>
    </row>
    <row r="8" spans="1:26" ht="15" customHeight="1" x14ac:dyDescent="0.35">
      <c r="A8" s="59" t="s">
        <v>33</v>
      </c>
      <c r="B8" s="60"/>
      <c r="C8" s="60"/>
      <c r="D8" s="61"/>
      <c r="E8" s="62"/>
      <c r="F8" s="63"/>
      <c r="G8" s="63"/>
      <c r="H8" s="39"/>
      <c r="I8" s="39"/>
      <c r="J8" s="39"/>
      <c r="K8" s="39"/>
      <c r="L8" s="39"/>
      <c r="M8" s="39"/>
      <c r="N8" s="39"/>
      <c r="O8" s="39"/>
      <c r="P8" s="39"/>
      <c r="Q8" s="39"/>
      <c r="R8" s="39"/>
      <c r="S8" s="39"/>
      <c r="T8" s="39"/>
      <c r="U8" s="39"/>
      <c r="V8" s="39"/>
      <c r="W8" s="39"/>
      <c r="X8" s="39"/>
      <c r="Y8" s="39"/>
      <c r="Z8" s="39"/>
    </row>
    <row r="9" spans="1:26" ht="15" customHeight="1" x14ac:dyDescent="0.35">
      <c r="A9" s="59" t="s">
        <v>9</v>
      </c>
      <c r="B9" s="64"/>
      <c r="C9" s="65"/>
      <c r="D9" s="66"/>
      <c r="E9" s="67"/>
      <c r="F9" s="63"/>
      <c r="G9" s="63"/>
      <c r="H9" s="39"/>
      <c r="I9" s="39"/>
      <c r="J9" s="39"/>
      <c r="K9" s="39"/>
      <c r="L9" s="39"/>
      <c r="M9" s="39"/>
      <c r="N9" s="39"/>
      <c r="O9" s="39"/>
      <c r="P9" s="39"/>
      <c r="Q9" s="39"/>
      <c r="R9" s="39"/>
      <c r="S9" s="39"/>
      <c r="T9" s="39"/>
      <c r="U9" s="39"/>
      <c r="V9" s="39"/>
      <c r="W9" s="39"/>
      <c r="X9" s="39"/>
      <c r="Y9" s="39"/>
      <c r="Z9" s="39"/>
    </row>
    <row r="10" spans="1:26" ht="15" customHeight="1" x14ac:dyDescent="0.35">
      <c r="A10" s="39"/>
      <c r="B10" s="39"/>
      <c r="C10" s="39"/>
      <c r="D10" s="63"/>
      <c r="E10" s="63"/>
      <c r="F10" s="63"/>
      <c r="G10" s="63"/>
      <c r="H10" s="39"/>
      <c r="I10" s="39"/>
      <c r="J10" s="39"/>
      <c r="K10" s="39"/>
      <c r="L10" s="39"/>
      <c r="M10" s="39"/>
      <c r="N10" s="39"/>
      <c r="O10" s="39"/>
      <c r="P10" s="39"/>
      <c r="Q10" s="39"/>
      <c r="R10" s="39"/>
      <c r="S10" s="39"/>
      <c r="T10" s="39"/>
      <c r="U10" s="39"/>
      <c r="V10" s="39"/>
      <c r="W10" s="39"/>
      <c r="X10" s="39"/>
      <c r="Y10" s="39"/>
      <c r="Z10" s="39"/>
    </row>
    <row r="11" spans="1:26" ht="17.25" customHeight="1" x14ac:dyDescent="0.35">
      <c r="A11" s="68" t="s">
        <v>34</v>
      </c>
      <c r="B11" s="69" t="s">
        <v>35</v>
      </c>
      <c r="C11" s="70" t="s">
        <v>36</v>
      </c>
      <c r="D11" s="70" t="s">
        <v>37</v>
      </c>
      <c r="E11" s="70" t="s">
        <v>38</v>
      </c>
      <c r="F11" s="69" t="s">
        <v>39</v>
      </c>
      <c r="G11" s="71" t="s">
        <v>40</v>
      </c>
      <c r="H11" s="72"/>
      <c r="I11" s="73" t="s">
        <v>41</v>
      </c>
      <c r="J11" s="73"/>
      <c r="K11" s="73"/>
      <c r="L11" s="73"/>
      <c r="M11" s="73"/>
      <c r="N11" s="73"/>
      <c r="O11" s="73"/>
      <c r="P11" s="73"/>
      <c r="Q11" s="73"/>
      <c r="R11" s="73"/>
      <c r="S11" s="73"/>
      <c r="T11" s="74"/>
      <c r="U11" s="75"/>
      <c r="V11" s="75"/>
      <c r="W11" s="75"/>
      <c r="X11" s="75"/>
      <c r="Y11" s="75"/>
      <c r="Z11" s="75"/>
    </row>
    <row r="12" spans="1:26" ht="6.75" hidden="1" customHeight="1" x14ac:dyDescent="0.35">
      <c r="A12" s="68"/>
      <c r="B12" s="69"/>
      <c r="C12" s="70"/>
      <c r="D12" s="70"/>
      <c r="E12" s="70"/>
      <c r="F12" s="69"/>
      <c r="G12" s="76"/>
      <c r="H12" s="77"/>
      <c r="I12" s="77"/>
      <c r="J12" s="77"/>
      <c r="K12" s="77"/>
      <c r="L12" s="77"/>
      <c r="M12" s="77"/>
      <c r="N12" s="77"/>
      <c r="O12" s="77"/>
      <c r="P12" s="78"/>
      <c r="Q12" s="79"/>
      <c r="R12" s="79"/>
      <c r="S12" s="79"/>
      <c r="T12" s="75"/>
      <c r="U12" s="75"/>
      <c r="V12" s="75"/>
      <c r="W12" s="75"/>
      <c r="X12" s="75"/>
      <c r="Y12" s="75"/>
      <c r="Z12" s="75"/>
    </row>
    <row r="13" spans="1:26" ht="15" customHeight="1" x14ac:dyDescent="0.35">
      <c r="A13" s="68"/>
      <c r="B13" s="69"/>
      <c r="C13" s="70"/>
      <c r="D13" s="70"/>
      <c r="E13" s="70"/>
      <c r="F13" s="69"/>
      <c r="G13" s="76"/>
      <c r="H13" s="77"/>
      <c r="I13" s="73" t="s">
        <v>30</v>
      </c>
      <c r="J13" s="80"/>
      <c r="K13" s="80"/>
      <c r="L13" s="80"/>
      <c r="M13" s="80"/>
      <c r="N13" s="80"/>
      <c r="O13" s="80"/>
      <c r="P13" s="80"/>
      <c r="Q13" s="81"/>
      <c r="R13" s="73" t="s">
        <v>31</v>
      </c>
      <c r="S13" s="73" t="s">
        <v>42</v>
      </c>
      <c r="T13" s="74"/>
      <c r="U13" s="75"/>
      <c r="V13" s="75"/>
      <c r="W13" s="75"/>
      <c r="X13" s="75"/>
      <c r="Y13" s="75"/>
      <c r="Z13" s="75"/>
    </row>
    <row r="14" spans="1:26" ht="15" customHeight="1" x14ac:dyDescent="0.35">
      <c r="A14" s="68"/>
      <c r="B14" s="69"/>
      <c r="C14" s="70"/>
      <c r="D14" s="70"/>
      <c r="E14" s="70"/>
      <c r="F14" s="69"/>
      <c r="G14" s="82"/>
      <c r="H14" s="83"/>
      <c r="I14" s="73"/>
      <c r="J14" s="80"/>
      <c r="K14" s="80"/>
      <c r="L14" s="80"/>
      <c r="M14" s="80"/>
      <c r="N14" s="80"/>
      <c r="O14" s="80"/>
      <c r="P14" s="80"/>
      <c r="Q14" s="81"/>
      <c r="R14" s="73"/>
      <c r="S14" s="73"/>
      <c r="T14" s="74"/>
      <c r="U14" s="75"/>
      <c r="V14" s="75"/>
      <c r="W14" s="75"/>
      <c r="X14" s="75"/>
      <c r="Y14" s="75"/>
      <c r="Z14" s="75"/>
    </row>
    <row r="15" spans="1:26" ht="15.75" customHeight="1" x14ac:dyDescent="0.35">
      <c r="A15" s="84" t="s">
        <v>43</v>
      </c>
      <c r="B15" s="85"/>
      <c r="C15" s="86"/>
      <c r="D15" s="86"/>
      <c r="E15" s="86"/>
      <c r="F15" s="86"/>
      <c r="G15" s="86"/>
      <c r="H15" s="87"/>
      <c r="I15" s="88"/>
      <c r="J15" s="88"/>
      <c r="K15" s="88"/>
      <c r="L15" s="88"/>
      <c r="M15" s="88"/>
      <c r="N15" s="88"/>
      <c r="O15" s="88"/>
      <c r="P15" s="88"/>
      <c r="Q15" s="88"/>
      <c r="R15" s="88"/>
      <c r="S15" s="88"/>
      <c r="T15" s="39"/>
      <c r="U15" s="39"/>
      <c r="V15" s="39"/>
      <c r="W15" s="39"/>
      <c r="X15" s="39"/>
      <c r="Y15" s="39"/>
      <c r="Z15" s="39"/>
    </row>
    <row r="16" spans="1:26" ht="72" customHeight="1" x14ac:dyDescent="0.35">
      <c r="A16" s="89" t="s">
        <v>44</v>
      </c>
      <c r="B16" s="90" t="s">
        <v>45</v>
      </c>
      <c r="C16" s="90" t="s">
        <v>46</v>
      </c>
      <c r="D16" s="91" t="s">
        <v>47</v>
      </c>
      <c r="E16" s="90" t="s">
        <v>48</v>
      </c>
      <c r="F16" s="92" t="s">
        <v>49</v>
      </c>
      <c r="G16" s="93" t="s">
        <v>50</v>
      </c>
      <c r="H16" s="94"/>
      <c r="I16" s="95" t="s">
        <v>28</v>
      </c>
      <c r="J16" s="96"/>
      <c r="K16" s="52"/>
      <c r="L16" s="97"/>
      <c r="M16" s="94"/>
      <c r="N16" s="90" t="s">
        <v>22</v>
      </c>
      <c r="O16" s="98"/>
      <c r="P16" s="99"/>
      <c r="Q16" s="94"/>
      <c r="R16" s="100" t="s">
        <v>22</v>
      </c>
      <c r="S16" s="100" t="s">
        <v>28</v>
      </c>
      <c r="T16" s="94"/>
      <c r="U16" s="94"/>
      <c r="V16" s="94"/>
      <c r="W16" s="94"/>
      <c r="X16" s="94"/>
      <c r="Y16" s="94"/>
      <c r="Z16" s="94"/>
    </row>
    <row r="17" spans="1:26" ht="72" customHeight="1" x14ac:dyDescent="0.35">
      <c r="A17" s="89" t="s">
        <v>51</v>
      </c>
      <c r="B17" s="90" t="s">
        <v>52</v>
      </c>
      <c r="C17" s="90" t="s">
        <v>53</v>
      </c>
      <c r="D17" s="91" t="s">
        <v>47</v>
      </c>
      <c r="E17" s="90" t="s">
        <v>54</v>
      </c>
      <c r="F17" s="92" t="s">
        <v>55</v>
      </c>
      <c r="G17" s="93" t="s">
        <v>56</v>
      </c>
      <c r="H17" s="94"/>
      <c r="I17" s="95" t="s">
        <v>28</v>
      </c>
      <c r="J17" s="96"/>
      <c r="K17" s="52"/>
      <c r="L17" s="97"/>
      <c r="M17" s="94"/>
      <c r="N17" s="90" t="s">
        <v>22</v>
      </c>
      <c r="O17" s="98"/>
      <c r="P17" s="99"/>
      <c r="Q17" s="94"/>
      <c r="R17" s="100" t="s">
        <v>22</v>
      </c>
      <c r="S17" s="100" t="s">
        <v>28</v>
      </c>
      <c r="T17" s="94"/>
      <c r="U17" s="94"/>
      <c r="V17" s="94"/>
      <c r="W17" s="94"/>
      <c r="X17" s="94"/>
      <c r="Y17" s="94"/>
      <c r="Z17" s="94"/>
    </row>
    <row r="18" spans="1:26" ht="72" customHeight="1" x14ac:dyDescent="0.35">
      <c r="A18" s="89" t="s">
        <v>57</v>
      </c>
      <c r="B18" s="90" t="s">
        <v>58</v>
      </c>
      <c r="C18" s="90" t="s">
        <v>59</v>
      </c>
      <c r="D18" s="91" t="s">
        <v>47</v>
      </c>
      <c r="E18" s="90" t="s">
        <v>60</v>
      </c>
      <c r="F18" s="92" t="s">
        <v>61</v>
      </c>
      <c r="G18" s="93" t="s">
        <v>62</v>
      </c>
      <c r="H18" s="94"/>
      <c r="I18" s="95" t="s">
        <v>28</v>
      </c>
      <c r="J18" s="96"/>
      <c r="K18" s="52"/>
      <c r="L18" s="97"/>
      <c r="M18" s="94"/>
      <c r="N18" s="90" t="s">
        <v>22</v>
      </c>
      <c r="O18" s="98"/>
      <c r="P18" s="99"/>
      <c r="Q18" s="94"/>
      <c r="R18" s="100" t="s">
        <v>22</v>
      </c>
      <c r="S18" s="100" t="s">
        <v>28</v>
      </c>
      <c r="T18" s="75"/>
      <c r="U18" s="75"/>
      <c r="V18" s="75"/>
      <c r="W18" s="75"/>
      <c r="X18" s="75"/>
      <c r="Y18" s="75"/>
      <c r="Z18" s="75"/>
    </row>
    <row r="19" spans="1:26" ht="72" customHeight="1" x14ac:dyDescent="0.35">
      <c r="A19" s="89" t="s">
        <v>63</v>
      </c>
      <c r="B19" s="90" t="s">
        <v>64</v>
      </c>
      <c r="C19" s="90" t="s">
        <v>65</v>
      </c>
      <c r="D19" s="91" t="s">
        <v>47</v>
      </c>
      <c r="E19" s="90" t="s">
        <v>66</v>
      </c>
      <c r="F19" s="92" t="s">
        <v>67</v>
      </c>
      <c r="G19" s="93" t="s">
        <v>68</v>
      </c>
      <c r="H19" s="94"/>
      <c r="I19" s="95" t="s">
        <v>28</v>
      </c>
      <c r="J19" s="96"/>
      <c r="K19" s="52"/>
      <c r="L19" s="97"/>
      <c r="M19" s="94"/>
      <c r="N19" s="90" t="s">
        <v>22</v>
      </c>
      <c r="O19" s="98"/>
      <c r="P19" s="99"/>
      <c r="Q19" s="94"/>
      <c r="R19" s="100" t="s">
        <v>22</v>
      </c>
      <c r="S19" s="100" t="s">
        <v>28</v>
      </c>
      <c r="T19" s="39"/>
      <c r="U19" s="39"/>
      <c r="V19" s="39"/>
      <c r="W19" s="39"/>
      <c r="X19" s="39"/>
      <c r="Y19" s="39"/>
      <c r="Z19" s="39"/>
    </row>
    <row r="20" spans="1:26" ht="72" customHeight="1" x14ac:dyDescent="0.35">
      <c r="A20" s="84" t="s">
        <v>69</v>
      </c>
      <c r="B20" s="85"/>
      <c r="C20" s="86"/>
      <c r="D20" s="86"/>
      <c r="E20" s="86"/>
      <c r="F20" s="86"/>
      <c r="G20" s="86" t="s">
        <v>70</v>
      </c>
      <c r="H20" s="87"/>
      <c r="I20" s="101" t="s">
        <v>28</v>
      </c>
      <c r="N20" s="41" t="s">
        <v>22</v>
      </c>
      <c r="R20" s="41" t="s">
        <v>22</v>
      </c>
      <c r="S20" s="41" t="s">
        <v>28</v>
      </c>
      <c r="T20" s="75"/>
      <c r="U20" s="75"/>
      <c r="V20" s="75"/>
      <c r="W20" s="75"/>
      <c r="X20" s="75"/>
      <c r="Y20" s="75"/>
      <c r="Z20" s="75"/>
    </row>
    <row r="21" spans="1:26" ht="72" customHeight="1" x14ac:dyDescent="0.35">
      <c r="A21" s="89" t="s">
        <v>71</v>
      </c>
      <c r="B21" s="90" t="s">
        <v>72</v>
      </c>
      <c r="C21" s="90" t="s">
        <v>73</v>
      </c>
      <c r="D21" s="91" t="s">
        <v>47</v>
      </c>
      <c r="E21" s="90" t="s">
        <v>74</v>
      </c>
      <c r="F21" s="92" t="s">
        <v>75</v>
      </c>
      <c r="G21" s="93" t="s">
        <v>76</v>
      </c>
      <c r="H21" s="94"/>
      <c r="I21" s="95" t="s">
        <v>28</v>
      </c>
      <c r="J21" s="96"/>
      <c r="K21" s="52"/>
      <c r="L21" s="97"/>
      <c r="M21" s="94"/>
      <c r="N21" s="90" t="s">
        <v>22</v>
      </c>
      <c r="O21" s="98"/>
      <c r="P21" s="99"/>
      <c r="Q21" s="94"/>
      <c r="R21" s="100" t="s">
        <v>22</v>
      </c>
      <c r="S21" s="100" t="s">
        <v>28</v>
      </c>
      <c r="T21" s="75"/>
      <c r="U21" s="75"/>
      <c r="V21" s="75"/>
      <c r="W21" s="75"/>
      <c r="X21" s="75"/>
      <c r="Y21" s="75"/>
      <c r="Z21" s="75"/>
    </row>
    <row r="22" spans="1:26" ht="72" customHeight="1" x14ac:dyDescent="0.35">
      <c r="A22" s="89" t="s">
        <v>77</v>
      </c>
      <c r="B22" s="90" t="s">
        <v>78</v>
      </c>
      <c r="C22" s="90" t="s">
        <v>79</v>
      </c>
      <c r="D22" s="91" t="s">
        <v>47</v>
      </c>
      <c r="E22" s="90" t="s">
        <v>80</v>
      </c>
      <c r="F22" s="92" t="s">
        <v>81</v>
      </c>
      <c r="G22" s="93" t="s">
        <v>82</v>
      </c>
      <c r="H22" s="94"/>
      <c r="I22" s="95" t="s">
        <v>28</v>
      </c>
      <c r="J22" s="96"/>
      <c r="K22" s="52"/>
      <c r="L22" s="97"/>
      <c r="M22" s="94"/>
      <c r="N22" s="90" t="s">
        <v>22</v>
      </c>
      <c r="O22" s="98"/>
      <c r="P22" s="99"/>
      <c r="Q22" s="94"/>
      <c r="R22" s="100" t="s">
        <v>22</v>
      </c>
      <c r="S22" s="100" t="s">
        <v>28</v>
      </c>
      <c r="T22" s="39"/>
      <c r="U22" s="39"/>
      <c r="V22" s="39"/>
      <c r="W22" s="39"/>
      <c r="X22" s="39"/>
      <c r="Y22" s="39"/>
      <c r="Z22" s="39"/>
    </row>
    <row r="23" spans="1:26" ht="72" customHeight="1" x14ac:dyDescent="0.35">
      <c r="A23" s="89" t="s">
        <v>83</v>
      </c>
      <c r="B23" s="90" t="s">
        <v>84</v>
      </c>
      <c r="C23" s="90" t="s">
        <v>85</v>
      </c>
      <c r="D23" s="91" t="s">
        <v>47</v>
      </c>
      <c r="E23" s="90" t="s">
        <v>86</v>
      </c>
      <c r="F23" s="92" t="s">
        <v>87</v>
      </c>
      <c r="G23" s="93" t="s">
        <v>88</v>
      </c>
      <c r="H23" s="94"/>
      <c r="I23" s="95" t="s">
        <v>28</v>
      </c>
      <c r="J23" s="96"/>
      <c r="K23" s="52"/>
      <c r="L23" s="97"/>
      <c r="M23" s="94"/>
      <c r="N23" s="90" t="s">
        <v>25</v>
      </c>
      <c r="O23" s="98"/>
      <c r="P23" s="99"/>
      <c r="Q23" s="94"/>
      <c r="R23" s="100" t="s">
        <v>25</v>
      </c>
      <c r="S23" s="100" t="s">
        <v>28</v>
      </c>
      <c r="T23" s="75"/>
      <c r="U23" s="75"/>
      <c r="V23" s="75"/>
      <c r="W23" s="75"/>
      <c r="X23" s="75"/>
      <c r="Y23" s="75"/>
      <c r="Z23" s="75"/>
    </row>
    <row r="24" spans="1:26" ht="72" customHeight="1" x14ac:dyDescent="0.35">
      <c r="A24" s="89" t="s">
        <v>89</v>
      </c>
      <c r="B24" s="90" t="s">
        <v>90</v>
      </c>
      <c r="C24" s="90" t="s">
        <v>91</v>
      </c>
      <c r="D24" s="91" t="s">
        <v>92</v>
      </c>
      <c r="E24" s="90" t="s">
        <v>93</v>
      </c>
      <c r="F24" s="92" t="s">
        <v>94</v>
      </c>
      <c r="G24" s="93" t="s">
        <v>95</v>
      </c>
      <c r="H24" s="94"/>
      <c r="I24" s="95" t="s">
        <v>28</v>
      </c>
      <c r="J24" s="96"/>
      <c r="K24" s="52"/>
      <c r="L24" s="97"/>
      <c r="M24" s="94"/>
      <c r="N24" s="90" t="s">
        <v>22</v>
      </c>
      <c r="O24" s="98"/>
      <c r="P24" s="99"/>
      <c r="Q24" s="94"/>
      <c r="R24" s="100" t="s">
        <v>22</v>
      </c>
      <c r="S24" s="100" t="s">
        <v>28</v>
      </c>
      <c r="T24" s="75"/>
      <c r="U24" s="75"/>
      <c r="V24" s="75"/>
      <c r="W24" s="75"/>
      <c r="X24" s="75"/>
      <c r="Y24" s="75"/>
      <c r="Z24" s="75"/>
    </row>
    <row r="25" spans="1:26" ht="61.5" customHeight="1" x14ac:dyDescent="0.35">
      <c r="A25" s="89" t="s">
        <v>96</v>
      </c>
      <c r="B25" s="90" t="s">
        <v>97</v>
      </c>
      <c r="C25" s="90" t="s">
        <v>98</v>
      </c>
      <c r="D25" s="91" t="s">
        <v>92</v>
      </c>
      <c r="E25" s="90" t="s">
        <v>99</v>
      </c>
      <c r="F25" s="92" t="s">
        <v>100</v>
      </c>
      <c r="G25" s="93"/>
      <c r="H25" s="94"/>
      <c r="I25" s="95"/>
      <c r="J25" s="96"/>
      <c r="K25" s="52"/>
      <c r="L25" s="97"/>
      <c r="M25" s="94"/>
      <c r="N25" s="90"/>
      <c r="O25" s="98"/>
      <c r="P25" s="99"/>
      <c r="Q25" s="94"/>
      <c r="R25" s="100"/>
      <c r="S25" s="100"/>
      <c r="T25" s="75"/>
      <c r="U25" s="75"/>
      <c r="V25" s="75"/>
      <c r="W25" s="75"/>
      <c r="X25" s="75"/>
      <c r="Y25" s="75"/>
      <c r="Z25" s="75"/>
    </row>
    <row r="26" spans="1:26" ht="72" customHeight="1" x14ac:dyDescent="0.35">
      <c r="A26" s="84" t="s">
        <v>101</v>
      </c>
      <c r="B26" s="85"/>
      <c r="C26" s="86"/>
      <c r="D26" s="86"/>
      <c r="E26" s="86"/>
      <c r="F26" s="86"/>
      <c r="G26" s="86" t="s">
        <v>102</v>
      </c>
      <c r="H26" s="87"/>
      <c r="I26" s="101" t="s">
        <v>28</v>
      </c>
      <c r="N26" s="41" t="s">
        <v>22</v>
      </c>
      <c r="R26" s="41" t="s">
        <v>22</v>
      </c>
      <c r="S26" s="41" t="s">
        <v>28</v>
      </c>
      <c r="T26" s="75"/>
      <c r="U26" s="75"/>
      <c r="V26" s="75"/>
      <c r="W26" s="75"/>
      <c r="X26" s="75"/>
      <c r="Y26" s="75"/>
      <c r="Z26" s="75"/>
    </row>
    <row r="27" spans="1:26" ht="72" customHeight="1" x14ac:dyDescent="0.35">
      <c r="A27" s="89" t="s">
        <v>103</v>
      </c>
      <c r="B27" s="90" t="s">
        <v>104</v>
      </c>
      <c r="C27" s="90" t="s">
        <v>105</v>
      </c>
      <c r="D27" s="91" t="s">
        <v>47</v>
      </c>
      <c r="E27" s="90" t="s">
        <v>106</v>
      </c>
      <c r="F27" s="92" t="s">
        <v>107</v>
      </c>
      <c r="G27" s="93" t="s">
        <v>108</v>
      </c>
      <c r="H27" s="94"/>
      <c r="I27" s="95" t="s">
        <v>28</v>
      </c>
      <c r="J27" s="96"/>
      <c r="K27" s="52"/>
      <c r="L27" s="97"/>
      <c r="M27" s="94"/>
      <c r="N27" s="90" t="s">
        <v>22</v>
      </c>
      <c r="O27" s="98"/>
      <c r="P27" s="99"/>
      <c r="Q27" s="94"/>
      <c r="R27" s="100" t="s">
        <v>22</v>
      </c>
      <c r="S27" s="100" t="s">
        <v>28</v>
      </c>
      <c r="T27" s="75"/>
      <c r="U27" s="75"/>
      <c r="V27" s="75"/>
      <c r="W27" s="75"/>
      <c r="X27" s="75"/>
      <c r="Y27" s="75"/>
      <c r="Z27" s="75"/>
    </row>
    <row r="28" spans="1:26" ht="72" customHeight="1" x14ac:dyDescent="0.35">
      <c r="A28" s="89" t="s">
        <v>109</v>
      </c>
      <c r="B28" s="90" t="s">
        <v>110</v>
      </c>
      <c r="C28" s="90" t="s">
        <v>111</v>
      </c>
      <c r="D28" s="91" t="s">
        <v>47</v>
      </c>
      <c r="E28" s="90" t="s">
        <v>112</v>
      </c>
      <c r="F28" s="92" t="s">
        <v>113</v>
      </c>
      <c r="G28" s="93" t="s">
        <v>114</v>
      </c>
      <c r="H28" s="94"/>
      <c r="I28" s="95" t="s">
        <v>28</v>
      </c>
      <c r="J28" s="96"/>
      <c r="K28" s="52"/>
      <c r="L28" s="97"/>
      <c r="M28" s="94"/>
      <c r="N28" s="90" t="s">
        <v>25</v>
      </c>
      <c r="O28" s="98"/>
      <c r="P28" s="99"/>
      <c r="Q28" s="94"/>
      <c r="R28" s="100" t="s">
        <v>25</v>
      </c>
      <c r="S28" s="100" t="s">
        <v>28</v>
      </c>
      <c r="T28" s="75"/>
      <c r="U28" s="75"/>
      <c r="V28" s="75"/>
      <c r="W28" s="75"/>
      <c r="X28" s="75"/>
      <c r="Y28" s="75"/>
      <c r="Z28" s="75"/>
    </row>
    <row r="29" spans="1:26" ht="72" customHeight="1" x14ac:dyDescent="0.35">
      <c r="A29" s="89" t="s">
        <v>115</v>
      </c>
      <c r="B29" s="90" t="s">
        <v>116</v>
      </c>
      <c r="C29" s="90" t="s">
        <v>117</v>
      </c>
      <c r="D29" s="91" t="s">
        <v>47</v>
      </c>
      <c r="E29" s="90" t="s">
        <v>118</v>
      </c>
      <c r="F29" s="92" t="s">
        <v>119</v>
      </c>
      <c r="G29" s="93" t="s">
        <v>120</v>
      </c>
      <c r="H29" s="94"/>
      <c r="I29" s="95" t="s">
        <v>28</v>
      </c>
      <c r="J29" s="96"/>
      <c r="K29" s="52"/>
      <c r="L29" s="97"/>
      <c r="M29" s="94"/>
      <c r="N29" s="90" t="s">
        <v>22</v>
      </c>
      <c r="O29" s="98"/>
      <c r="P29" s="99"/>
      <c r="Q29" s="94"/>
      <c r="R29" s="100" t="s">
        <v>22</v>
      </c>
      <c r="S29" s="100" t="s">
        <v>28</v>
      </c>
      <c r="T29" s="75"/>
      <c r="U29" s="75"/>
      <c r="V29" s="75"/>
      <c r="W29" s="75"/>
      <c r="X29" s="75"/>
      <c r="Y29" s="75"/>
      <c r="Z29" s="75"/>
    </row>
    <row r="30" spans="1:26" ht="72" customHeight="1" x14ac:dyDescent="0.35">
      <c r="A30" s="89" t="s">
        <v>121</v>
      </c>
      <c r="B30" s="90" t="s">
        <v>122</v>
      </c>
      <c r="C30" s="90" t="s">
        <v>123</v>
      </c>
      <c r="D30" s="91" t="s">
        <v>47</v>
      </c>
      <c r="E30" s="90" t="s">
        <v>124</v>
      </c>
      <c r="F30" s="92" t="s">
        <v>125</v>
      </c>
      <c r="G30" s="93" t="s">
        <v>126</v>
      </c>
      <c r="H30" s="94"/>
      <c r="I30" s="95" t="s">
        <v>28</v>
      </c>
      <c r="J30" s="96"/>
      <c r="K30" s="52"/>
      <c r="L30" s="97"/>
      <c r="M30" s="94"/>
      <c r="N30" s="90" t="s">
        <v>27</v>
      </c>
      <c r="O30" s="98"/>
      <c r="P30" s="99"/>
      <c r="Q30" s="94"/>
      <c r="R30" s="100" t="s">
        <v>27</v>
      </c>
      <c r="S30" s="100" t="s">
        <v>28</v>
      </c>
      <c r="T30" s="75"/>
      <c r="U30" s="75"/>
      <c r="V30" s="75"/>
      <c r="W30" s="75"/>
      <c r="X30" s="75"/>
      <c r="Y30" s="75"/>
      <c r="Z30" s="75"/>
    </row>
    <row r="31" spans="1:26" ht="61.5" customHeight="1" x14ac:dyDescent="0.35">
      <c r="A31" s="89" t="s">
        <v>127</v>
      </c>
      <c r="B31" s="90" t="s">
        <v>128</v>
      </c>
      <c r="C31" s="90" t="s">
        <v>129</v>
      </c>
      <c r="D31" s="91" t="s">
        <v>47</v>
      </c>
      <c r="E31" s="90" t="s">
        <v>130</v>
      </c>
      <c r="F31" s="92" t="s">
        <v>131</v>
      </c>
      <c r="G31" s="93"/>
      <c r="H31" s="94"/>
      <c r="I31" s="95"/>
      <c r="J31" s="96"/>
      <c r="K31" s="52"/>
      <c r="L31" s="97"/>
      <c r="M31" s="94"/>
      <c r="N31" s="90"/>
      <c r="O31" s="98"/>
      <c r="P31" s="99"/>
      <c r="Q31" s="94"/>
      <c r="R31" s="100"/>
      <c r="S31" s="100"/>
      <c r="T31" s="75"/>
      <c r="U31" s="75"/>
      <c r="V31" s="75"/>
      <c r="W31" s="75"/>
      <c r="X31" s="75"/>
      <c r="Y31" s="75"/>
      <c r="Z31" s="75"/>
    </row>
    <row r="32" spans="1:26" ht="72" customHeight="1" x14ac:dyDescent="0.35">
      <c r="A32" s="84" t="s">
        <v>132</v>
      </c>
      <c r="B32" s="85"/>
      <c r="C32" s="86"/>
      <c r="D32" s="86"/>
      <c r="E32" s="86"/>
      <c r="F32" s="86"/>
      <c r="G32" s="86" t="s">
        <v>133</v>
      </c>
      <c r="H32" s="87"/>
      <c r="I32" s="101" t="s">
        <v>28</v>
      </c>
      <c r="N32" s="41" t="s">
        <v>22</v>
      </c>
      <c r="R32" s="41" t="s">
        <v>22</v>
      </c>
      <c r="S32" s="41" t="s">
        <v>28</v>
      </c>
      <c r="T32" s="75"/>
      <c r="U32" s="75"/>
      <c r="V32" s="75"/>
      <c r="W32" s="75"/>
      <c r="X32" s="75"/>
      <c r="Y32" s="75"/>
      <c r="Z32" s="75"/>
    </row>
    <row r="33" spans="1:26" ht="72" customHeight="1" x14ac:dyDescent="0.35">
      <c r="A33" s="89" t="s">
        <v>134</v>
      </c>
      <c r="B33" s="90" t="s">
        <v>135</v>
      </c>
      <c r="C33" s="90" t="s">
        <v>136</v>
      </c>
      <c r="D33" s="91" t="s">
        <v>47</v>
      </c>
      <c r="E33" s="90" t="s">
        <v>137</v>
      </c>
      <c r="F33" s="92" t="s">
        <v>107</v>
      </c>
      <c r="G33" s="93" t="s">
        <v>138</v>
      </c>
      <c r="H33" s="94"/>
      <c r="I33" s="95" t="s">
        <v>28</v>
      </c>
      <c r="J33" s="96"/>
      <c r="K33" s="52"/>
      <c r="L33" s="97"/>
      <c r="M33" s="94"/>
      <c r="N33" s="90" t="s">
        <v>22</v>
      </c>
      <c r="O33" s="98"/>
      <c r="P33" s="99"/>
      <c r="Q33" s="94"/>
      <c r="R33" s="100" t="s">
        <v>22</v>
      </c>
      <c r="S33" s="100" t="s">
        <v>28</v>
      </c>
      <c r="T33" s="75"/>
      <c r="U33" s="75"/>
      <c r="V33" s="75"/>
      <c r="W33" s="75"/>
      <c r="X33" s="75"/>
      <c r="Y33" s="75"/>
      <c r="Z33" s="75"/>
    </row>
    <row r="34" spans="1:26" ht="61.5" customHeight="1" x14ac:dyDescent="0.35">
      <c r="A34" s="89" t="s">
        <v>139</v>
      </c>
      <c r="B34" s="90" t="s">
        <v>140</v>
      </c>
      <c r="C34" s="90" t="s">
        <v>141</v>
      </c>
      <c r="D34" s="91" t="s">
        <v>47</v>
      </c>
      <c r="E34" s="90" t="s">
        <v>142</v>
      </c>
      <c r="F34" s="92" t="s">
        <v>143</v>
      </c>
      <c r="G34" s="93"/>
      <c r="H34" s="94"/>
      <c r="I34" s="95"/>
      <c r="J34" s="96"/>
      <c r="K34" s="52"/>
      <c r="L34" s="97"/>
      <c r="M34" s="94"/>
      <c r="N34" s="90"/>
      <c r="O34" s="98"/>
      <c r="P34" s="99"/>
      <c r="Q34" s="94"/>
      <c r="R34" s="100"/>
      <c r="S34" s="100"/>
      <c r="T34" s="75"/>
      <c r="U34" s="75"/>
      <c r="V34" s="75"/>
      <c r="W34" s="75"/>
      <c r="X34" s="75"/>
      <c r="Y34" s="75"/>
      <c r="Z34" s="75"/>
    </row>
    <row r="35" spans="1:26" ht="72" customHeight="1" x14ac:dyDescent="0.35">
      <c r="A35" s="84" t="s">
        <v>144</v>
      </c>
      <c r="B35" s="85"/>
      <c r="C35" s="86"/>
      <c r="D35" s="86"/>
      <c r="E35" s="86"/>
      <c r="F35" s="86"/>
      <c r="G35" s="86" t="s">
        <v>145</v>
      </c>
      <c r="H35" s="87"/>
      <c r="I35" s="101" t="s">
        <v>28</v>
      </c>
      <c r="N35" s="41" t="s">
        <v>22</v>
      </c>
      <c r="R35" s="41" t="s">
        <v>22</v>
      </c>
      <c r="S35" s="41" t="s">
        <v>28</v>
      </c>
      <c r="T35" s="75"/>
      <c r="U35" s="75"/>
      <c r="V35" s="75"/>
      <c r="W35" s="75"/>
      <c r="X35" s="75"/>
      <c r="Y35" s="75"/>
      <c r="Z35" s="75"/>
    </row>
    <row r="36" spans="1:26" ht="72" customHeight="1" x14ac:dyDescent="0.35">
      <c r="A36" s="89" t="s">
        <v>146</v>
      </c>
      <c r="B36" s="90" t="s">
        <v>147</v>
      </c>
      <c r="C36" s="90" t="s">
        <v>148</v>
      </c>
      <c r="D36" s="91" t="s">
        <v>47</v>
      </c>
      <c r="E36" s="90" t="s">
        <v>149</v>
      </c>
      <c r="F36" s="92" t="s">
        <v>150</v>
      </c>
      <c r="G36" s="93" t="s">
        <v>151</v>
      </c>
      <c r="H36" s="94"/>
      <c r="I36" s="95" t="s">
        <v>28</v>
      </c>
      <c r="J36" s="96"/>
      <c r="K36" s="52"/>
      <c r="L36" s="97"/>
      <c r="M36" s="94"/>
      <c r="N36" s="90" t="s">
        <v>22</v>
      </c>
      <c r="O36" s="98"/>
      <c r="P36" s="99"/>
      <c r="Q36" s="94"/>
      <c r="R36" s="100" t="s">
        <v>22</v>
      </c>
      <c r="S36" s="100" t="s">
        <v>28</v>
      </c>
      <c r="T36" s="75"/>
      <c r="U36" s="75"/>
      <c r="V36" s="75"/>
      <c r="W36" s="75"/>
      <c r="X36" s="75"/>
      <c r="Y36" s="75"/>
      <c r="Z36" s="75"/>
    </row>
    <row r="37" spans="1:26" ht="61.5" customHeight="1" x14ac:dyDescent="0.35">
      <c r="A37" s="89" t="s">
        <v>152</v>
      </c>
      <c r="B37" s="90" t="s">
        <v>153</v>
      </c>
      <c r="C37" s="90" t="s">
        <v>154</v>
      </c>
      <c r="D37" s="91" t="s">
        <v>47</v>
      </c>
      <c r="E37" s="90" t="s">
        <v>155</v>
      </c>
      <c r="F37" s="92" t="s">
        <v>156</v>
      </c>
      <c r="G37" s="93"/>
      <c r="H37" s="94"/>
      <c r="I37" s="95"/>
      <c r="J37" s="96"/>
      <c r="K37" s="52"/>
      <c r="L37" s="97"/>
      <c r="M37" s="94"/>
      <c r="N37" s="90"/>
      <c r="O37" s="98"/>
      <c r="P37" s="99"/>
      <c r="Q37" s="94"/>
      <c r="R37" s="100"/>
      <c r="S37" s="100"/>
      <c r="T37" s="75"/>
      <c r="U37" s="75"/>
      <c r="V37" s="75"/>
      <c r="W37" s="75"/>
      <c r="X37" s="75"/>
      <c r="Y37" s="75"/>
      <c r="Z37" s="75"/>
    </row>
    <row r="38" spans="1:26" ht="72" customHeight="1" x14ac:dyDescent="0.35">
      <c r="A38" s="84" t="s">
        <v>157</v>
      </c>
      <c r="B38" s="85"/>
      <c r="C38" s="86"/>
      <c r="D38" s="86"/>
      <c r="E38" s="86"/>
      <c r="F38" s="86"/>
      <c r="G38" s="86" t="s">
        <v>158</v>
      </c>
      <c r="H38" s="87"/>
      <c r="I38" s="101" t="s">
        <v>28</v>
      </c>
      <c r="N38" s="41" t="s">
        <v>22</v>
      </c>
      <c r="R38" s="41" t="s">
        <v>22</v>
      </c>
      <c r="S38" s="41" t="s">
        <v>28</v>
      </c>
      <c r="T38" s="75"/>
      <c r="U38" s="75"/>
      <c r="V38" s="75"/>
      <c r="W38" s="75"/>
      <c r="X38" s="75"/>
      <c r="Y38" s="75"/>
      <c r="Z38" s="75"/>
    </row>
    <row r="39" spans="1:26" ht="72" customHeight="1" x14ac:dyDescent="0.35">
      <c r="A39" s="89" t="s">
        <v>159</v>
      </c>
      <c r="B39" s="90" t="s">
        <v>160</v>
      </c>
      <c r="C39" s="90" t="s">
        <v>161</v>
      </c>
      <c r="D39" s="91" t="s">
        <v>162</v>
      </c>
      <c r="E39" s="90" t="s">
        <v>163</v>
      </c>
      <c r="F39" s="92" t="s">
        <v>164</v>
      </c>
      <c r="G39" s="93" t="s">
        <v>165</v>
      </c>
      <c r="H39" s="94"/>
      <c r="I39" s="95" t="s">
        <v>28</v>
      </c>
      <c r="J39" s="96"/>
      <c r="K39" s="52"/>
      <c r="L39" s="97"/>
      <c r="M39" s="94"/>
      <c r="N39" s="90" t="s">
        <v>22</v>
      </c>
      <c r="O39" s="98"/>
      <c r="P39" s="99"/>
      <c r="Q39" s="94"/>
      <c r="R39" s="100" t="s">
        <v>22</v>
      </c>
      <c r="S39" s="100" t="s">
        <v>28</v>
      </c>
      <c r="T39" s="75"/>
      <c r="U39" s="75"/>
      <c r="V39" s="75"/>
      <c r="W39" s="75"/>
      <c r="X39" s="75"/>
      <c r="Y39" s="75"/>
      <c r="Z39" s="75"/>
    </row>
    <row r="40" spans="1:26" ht="72" customHeight="1" x14ac:dyDescent="0.35">
      <c r="A40" s="89" t="s">
        <v>166</v>
      </c>
      <c r="B40" s="90" t="s">
        <v>167</v>
      </c>
      <c r="C40" s="90" t="s">
        <v>168</v>
      </c>
      <c r="D40" s="91" t="s">
        <v>169</v>
      </c>
      <c r="E40" s="90" t="s">
        <v>170</v>
      </c>
      <c r="F40" s="92" t="s">
        <v>171</v>
      </c>
      <c r="G40" s="93" t="s">
        <v>172</v>
      </c>
      <c r="H40" s="94"/>
      <c r="I40" s="95" t="s">
        <v>28</v>
      </c>
      <c r="J40" s="96"/>
      <c r="K40" s="52"/>
      <c r="L40" s="97"/>
      <c r="M40" s="94"/>
      <c r="N40" s="90" t="s">
        <v>22</v>
      </c>
      <c r="O40" s="98"/>
      <c r="P40" s="99"/>
      <c r="Q40" s="94"/>
      <c r="R40" s="100" t="s">
        <v>22</v>
      </c>
      <c r="S40" s="100" t="s">
        <v>28</v>
      </c>
      <c r="T40" s="75"/>
      <c r="U40" s="75"/>
      <c r="V40" s="75"/>
      <c r="W40" s="75"/>
      <c r="X40" s="75"/>
      <c r="Y40" s="75"/>
      <c r="Z40" s="75"/>
    </row>
    <row r="41" spans="1:26" ht="72" customHeight="1" x14ac:dyDescent="0.35">
      <c r="A41" s="89" t="s">
        <v>173</v>
      </c>
      <c r="B41" s="90" t="s">
        <v>174</v>
      </c>
      <c r="C41" s="90" t="s">
        <v>175</v>
      </c>
      <c r="D41" s="91" t="s">
        <v>169</v>
      </c>
      <c r="E41" s="90" t="s">
        <v>176</v>
      </c>
      <c r="F41" s="92" t="s">
        <v>177</v>
      </c>
      <c r="G41" s="93" t="s">
        <v>178</v>
      </c>
      <c r="H41" s="94"/>
      <c r="I41" s="95" t="s">
        <v>28</v>
      </c>
      <c r="J41" s="96"/>
      <c r="K41" s="52"/>
      <c r="L41" s="97"/>
      <c r="M41" s="94"/>
      <c r="N41" s="90" t="s">
        <v>25</v>
      </c>
      <c r="O41" s="98"/>
      <c r="P41" s="99"/>
      <c r="Q41" s="94"/>
      <c r="R41" s="100" t="s">
        <v>25</v>
      </c>
      <c r="S41" s="100" t="s">
        <v>28</v>
      </c>
      <c r="T41" s="75"/>
      <c r="U41" s="75"/>
      <c r="V41" s="75"/>
      <c r="W41" s="75"/>
      <c r="X41" s="75"/>
      <c r="Y41" s="75"/>
      <c r="Z41" s="75"/>
    </row>
    <row r="42" spans="1:26" ht="61.5" customHeight="1" x14ac:dyDescent="0.35">
      <c r="A42" s="89" t="s">
        <v>179</v>
      </c>
      <c r="B42" s="90" t="s">
        <v>180</v>
      </c>
      <c r="C42" s="90" t="s">
        <v>181</v>
      </c>
      <c r="D42" s="91" t="s">
        <v>169</v>
      </c>
      <c r="E42" s="90" t="s">
        <v>182</v>
      </c>
      <c r="F42" s="92" t="s">
        <v>183</v>
      </c>
      <c r="G42" s="93"/>
      <c r="H42" s="94"/>
      <c r="I42" s="95"/>
      <c r="J42" s="96"/>
      <c r="K42" s="52"/>
      <c r="L42" s="97"/>
      <c r="M42" s="94"/>
      <c r="N42" s="90"/>
      <c r="O42" s="98"/>
      <c r="P42" s="99"/>
      <c r="Q42" s="94"/>
      <c r="R42" s="100"/>
      <c r="S42" s="100"/>
      <c r="T42" s="75"/>
      <c r="U42" s="75"/>
      <c r="V42" s="75"/>
      <c r="W42" s="75"/>
      <c r="X42" s="75"/>
      <c r="Y42" s="75"/>
      <c r="Z42" s="75"/>
    </row>
    <row r="43" spans="1:26" ht="72" customHeight="1" x14ac:dyDescent="0.35">
      <c r="A43" s="84" t="s">
        <v>184</v>
      </c>
      <c r="B43" s="85"/>
      <c r="C43" s="86"/>
      <c r="D43" s="86"/>
      <c r="E43" s="86"/>
      <c r="F43" s="86"/>
      <c r="G43" s="86" t="s">
        <v>185</v>
      </c>
      <c r="H43" s="87"/>
      <c r="I43" s="101" t="s">
        <v>28</v>
      </c>
      <c r="N43" s="41" t="s">
        <v>22</v>
      </c>
      <c r="R43" s="41" t="s">
        <v>22</v>
      </c>
      <c r="S43" s="41" t="s">
        <v>28</v>
      </c>
      <c r="T43" s="75"/>
      <c r="U43" s="75"/>
      <c r="V43" s="75"/>
      <c r="W43" s="75"/>
      <c r="X43" s="75"/>
      <c r="Y43" s="75"/>
      <c r="Z43" s="75"/>
    </row>
    <row r="44" spans="1:26" ht="72" customHeight="1" x14ac:dyDescent="0.35">
      <c r="A44" s="89" t="s">
        <v>186</v>
      </c>
      <c r="B44" s="90" t="s">
        <v>187</v>
      </c>
      <c r="C44" s="90" t="s">
        <v>188</v>
      </c>
      <c r="D44" s="91" t="s">
        <v>189</v>
      </c>
      <c r="E44" s="90" t="s">
        <v>190</v>
      </c>
      <c r="F44" s="92" t="s">
        <v>191</v>
      </c>
      <c r="G44" s="93" t="s">
        <v>192</v>
      </c>
      <c r="H44" s="94"/>
      <c r="I44" s="95" t="s">
        <v>28</v>
      </c>
      <c r="J44" s="96"/>
      <c r="K44" s="52"/>
      <c r="L44" s="97"/>
      <c r="M44" s="94"/>
      <c r="N44" s="90" t="s">
        <v>22</v>
      </c>
      <c r="O44" s="98"/>
      <c r="P44" s="99"/>
      <c r="Q44" s="94"/>
      <c r="R44" s="100" t="s">
        <v>22</v>
      </c>
      <c r="S44" s="100" t="s">
        <v>28</v>
      </c>
      <c r="T44" s="75"/>
      <c r="U44" s="75"/>
      <c r="V44" s="75"/>
      <c r="W44" s="75"/>
      <c r="X44" s="75"/>
      <c r="Y44" s="75"/>
      <c r="Z44" s="75"/>
    </row>
    <row r="45" spans="1:26" ht="72" customHeight="1" x14ac:dyDescent="0.35">
      <c r="A45" s="89" t="s">
        <v>193</v>
      </c>
      <c r="B45" s="90" t="s">
        <v>194</v>
      </c>
      <c r="C45" s="90" t="s">
        <v>195</v>
      </c>
      <c r="D45" s="91" t="s">
        <v>189</v>
      </c>
      <c r="E45" s="90" t="s">
        <v>196</v>
      </c>
      <c r="F45" s="92" t="s">
        <v>191</v>
      </c>
      <c r="G45" s="93" t="s">
        <v>197</v>
      </c>
      <c r="H45" s="94"/>
      <c r="I45" s="95" t="s">
        <v>28</v>
      </c>
      <c r="J45" s="96"/>
      <c r="K45" s="52"/>
      <c r="L45" s="97"/>
      <c r="M45" s="94"/>
      <c r="N45" s="90" t="s">
        <v>22</v>
      </c>
      <c r="O45" s="98"/>
      <c r="P45" s="99"/>
      <c r="Q45" s="94"/>
      <c r="R45" s="100" t="s">
        <v>22</v>
      </c>
      <c r="S45" s="100" t="s">
        <v>28</v>
      </c>
      <c r="T45" s="75"/>
      <c r="U45" s="75"/>
      <c r="V45" s="75"/>
      <c r="W45" s="75"/>
      <c r="X45" s="75"/>
      <c r="Y45" s="75"/>
      <c r="Z45" s="75"/>
    </row>
    <row r="46" spans="1:26" ht="61.5" customHeight="1" x14ac:dyDescent="0.35">
      <c r="A46" s="89" t="s">
        <v>198</v>
      </c>
      <c r="B46" s="90" t="s">
        <v>199</v>
      </c>
      <c r="C46" s="90" t="s">
        <v>200</v>
      </c>
      <c r="D46" s="91" t="s">
        <v>189</v>
      </c>
      <c r="E46" s="90" t="s">
        <v>201</v>
      </c>
      <c r="F46" s="92" t="s">
        <v>202</v>
      </c>
      <c r="G46" s="93"/>
      <c r="H46" s="94"/>
      <c r="I46" s="95"/>
      <c r="J46" s="96"/>
      <c r="K46" s="52"/>
      <c r="L46" s="97"/>
      <c r="M46" s="94"/>
      <c r="N46" s="90"/>
      <c r="O46" s="98"/>
      <c r="P46" s="99"/>
      <c r="Q46" s="94"/>
      <c r="R46" s="100"/>
      <c r="S46" s="100"/>
      <c r="T46" s="75"/>
      <c r="U46" s="75"/>
      <c r="V46" s="75"/>
      <c r="W46" s="75"/>
      <c r="X46" s="75"/>
      <c r="Y46" s="75"/>
      <c r="Z46" s="75"/>
    </row>
    <row r="47" spans="1:26" ht="72" customHeight="1" x14ac:dyDescent="0.35">
      <c r="A47" s="84" t="s">
        <v>203</v>
      </c>
      <c r="B47" s="85"/>
      <c r="C47" s="86"/>
      <c r="D47" s="86"/>
      <c r="E47" s="86"/>
      <c r="F47" s="86"/>
      <c r="G47" s="86" t="s">
        <v>204</v>
      </c>
      <c r="H47" s="87"/>
      <c r="I47" s="101" t="s">
        <v>28</v>
      </c>
      <c r="N47" s="41" t="s">
        <v>22</v>
      </c>
      <c r="R47" s="41" t="s">
        <v>22</v>
      </c>
      <c r="S47" s="41" t="s">
        <v>28</v>
      </c>
      <c r="T47" s="75"/>
      <c r="U47" s="75"/>
      <c r="V47" s="75"/>
      <c r="W47" s="75"/>
      <c r="X47" s="75"/>
      <c r="Y47" s="75"/>
      <c r="Z47" s="75"/>
    </row>
    <row r="48" spans="1:26" ht="72" customHeight="1" x14ac:dyDescent="0.35">
      <c r="A48" s="89" t="s">
        <v>205</v>
      </c>
      <c r="B48" s="90" t="s">
        <v>206</v>
      </c>
      <c r="C48" s="90" t="s">
        <v>207</v>
      </c>
      <c r="D48" s="91" t="s">
        <v>208</v>
      </c>
      <c r="E48" s="90" t="s">
        <v>209</v>
      </c>
      <c r="F48" s="92" t="s">
        <v>210</v>
      </c>
      <c r="G48" s="93" t="s">
        <v>211</v>
      </c>
      <c r="H48" s="94"/>
      <c r="I48" s="95" t="s">
        <v>28</v>
      </c>
      <c r="J48" s="96"/>
      <c r="K48" s="52"/>
      <c r="L48" s="97"/>
      <c r="M48" s="94"/>
      <c r="N48" s="90" t="s">
        <v>22</v>
      </c>
      <c r="O48" s="98"/>
      <c r="P48" s="99"/>
      <c r="Q48" s="94"/>
      <c r="R48" s="100" t="s">
        <v>22</v>
      </c>
      <c r="S48" s="100" t="s">
        <v>28</v>
      </c>
      <c r="T48" s="75"/>
      <c r="U48" s="75"/>
      <c r="V48" s="75"/>
      <c r="W48" s="75"/>
      <c r="X48" s="75"/>
      <c r="Y48" s="75"/>
      <c r="Z48" s="75"/>
    </row>
    <row r="49" spans="1:26" ht="72" customHeight="1" x14ac:dyDescent="0.35">
      <c r="A49" s="89" t="s">
        <v>212</v>
      </c>
      <c r="B49" s="90" t="s">
        <v>213</v>
      </c>
      <c r="C49" s="90" t="s">
        <v>214</v>
      </c>
      <c r="D49" s="91" t="s">
        <v>208</v>
      </c>
      <c r="E49" s="90" t="s">
        <v>215</v>
      </c>
      <c r="F49" s="92" t="s">
        <v>216</v>
      </c>
      <c r="G49" s="93" t="s">
        <v>217</v>
      </c>
      <c r="H49" s="94"/>
      <c r="I49" s="95" t="s">
        <v>28</v>
      </c>
      <c r="J49" s="96"/>
      <c r="K49" s="52"/>
      <c r="L49" s="97"/>
      <c r="M49" s="94"/>
      <c r="N49" s="90" t="s">
        <v>25</v>
      </c>
      <c r="O49" s="98"/>
      <c r="P49" s="99"/>
      <c r="Q49" s="94"/>
      <c r="R49" s="100" t="s">
        <v>25</v>
      </c>
      <c r="S49" s="100" t="s">
        <v>28</v>
      </c>
      <c r="T49" s="75"/>
      <c r="U49" s="75"/>
      <c r="V49" s="75"/>
      <c r="W49" s="75"/>
      <c r="X49" s="75"/>
      <c r="Y49" s="75"/>
      <c r="Z49" s="75"/>
    </row>
    <row r="50" spans="1:26" ht="72" customHeight="1" x14ac:dyDescent="0.35">
      <c r="A50" s="89" t="s">
        <v>218</v>
      </c>
      <c r="B50" s="90" t="s">
        <v>219</v>
      </c>
      <c r="C50" s="90" t="s">
        <v>220</v>
      </c>
      <c r="D50" s="91" t="s">
        <v>208</v>
      </c>
      <c r="E50" s="90" t="s">
        <v>221</v>
      </c>
      <c r="F50" s="92" t="s">
        <v>222</v>
      </c>
      <c r="G50" s="93" t="s">
        <v>223</v>
      </c>
      <c r="H50" s="94"/>
      <c r="I50" s="95" t="s">
        <v>28</v>
      </c>
      <c r="J50" s="96"/>
      <c r="K50" s="52"/>
      <c r="L50" s="97"/>
      <c r="M50" s="94"/>
      <c r="N50" s="90" t="s">
        <v>22</v>
      </c>
      <c r="O50" s="98"/>
      <c r="P50" s="99"/>
      <c r="Q50" s="94"/>
      <c r="R50" s="100" t="s">
        <v>22</v>
      </c>
      <c r="S50" s="100" t="s">
        <v>28</v>
      </c>
      <c r="T50" s="75"/>
      <c r="U50" s="75"/>
      <c r="V50" s="75"/>
      <c r="W50" s="75"/>
      <c r="X50" s="75"/>
      <c r="Y50" s="75"/>
      <c r="Z50" s="75"/>
    </row>
    <row r="51" spans="1:26" ht="72" customHeight="1" x14ac:dyDescent="0.35">
      <c r="A51" s="89" t="s">
        <v>224</v>
      </c>
      <c r="B51" s="90" t="s">
        <v>225</v>
      </c>
      <c r="C51" s="90" t="s">
        <v>226</v>
      </c>
      <c r="D51" s="91" t="s">
        <v>208</v>
      </c>
      <c r="E51" s="90" t="s">
        <v>227</v>
      </c>
      <c r="F51" s="92" t="s">
        <v>228</v>
      </c>
      <c r="G51" s="93" t="s">
        <v>229</v>
      </c>
      <c r="H51" s="94"/>
      <c r="I51" s="95" t="s">
        <v>28</v>
      </c>
      <c r="J51" s="96"/>
      <c r="K51" s="52"/>
      <c r="L51" s="97"/>
      <c r="M51" s="94"/>
      <c r="N51" s="90" t="s">
        <v>22</v>
      </c>
      <c r="O51" s="98"/>
      <c r="P51" s="99"/>
      <c r="Q51" s="94"/>
      <c r="R51" s="100" t="s">
        <v>22</v>
      </c>
      <c r="S51" s="100" t="s">
        <v>28</v>
      </c>
      <c r="T51" s="75"/>
      <c r="U51" s="75"/>
      <c r="V51" s="75"/>
      <c r="W51" s="75"/>
      <c r="X51" s="75"/>
      <c r="Y51" s="75"/>
      <c r="Z51" s="75"/>
    </row>
    <row r="52" spans="1:26" ht="72" customHeight="1" x14ac:dyDescent="0.35">
      <c r="A52" s="89" t="s">
        <v>230</v>
      </c>
      <c r="B52" s="90" t="s">
        <v>231</v>
      </c>
      <c r="C52" s="90" t="s">
        <v>232</v>
      </c>
      <c r="D52" s="91" t="s">
        <v>208</v>
      </c>
      <c r="E52" s="90" t="s">
        <v>233</v>
      </c>
      <c r="F52" s="92" t="s">
        <v>234</v>
      </c>
      <c r="G52" s="93" t="s">
        <v>235</v>
      </c>
      <c r="H52" s="94"/>
      <c r="I52" s="95" t="s">
        <v>28</v>
      </c>
      <c r="J52" s="96"/>
      <c r="K52" s="52"/>
      <c r="L52" s="97"/>
      <c r="M52" s="94"/>
      <c r="N52" s="90" t="s">
        <v>22</v>
      </c>
      <c r="O52" s="98"/>
      <c r="P52" s="99"/>
      <c r="Q52" s="94"/>
      <c r="R52" s="100" t="s">
        <v>22</v>
      </c>
      <c r="S52" s="100" t="s">
        <v>28</v>
      </c>
      <c r="T52" s="75"/>
      <c r="U52" s="75"/>
      <c r="V52" s="75"/>
      <c r="W52" s="75"/>
      <c r="X52" s="75"/>
      <c r="Y52" s="75"/>
      <c r="Z52" s="75"/>
    </row>
    <row r="53" spans="1:26" ht="61.5" customHeight="1" x14ac:dyDescent="0.35">
      <c r="A53" s="89" t="s">
        <v>236</v>
      </c>
      <c r="B53" s="90" t="s">
        <v>237</v>
      </c>
      <c r="C53" s="90" t="s">
        <v>238</v>
      </c>
      <c r="D53" s="91" t="s">
        <v>208</v>
      </c>
      <c r="E53" s="90" t="s">
        <v>239</v>
      </c>
      <c r="F53" s="92" t="s">
        <v>240</v>
      </c>
      <c r="G53" s="93"/>
      <c r="H53" s="94"/>
      <c r="I53" s="95"/>
      <c r="J53" s="96"/>
      <c r="K53" s="52"/>
      <c r="L53" s="97"/>
      <c r="M53" s="94"/>
      <c r="N53" s="90"/>
      <c r="O53" s="98"/>
      <c r="P53" s="99"/>
      <c r="Q53" s="94"/>
      <c r="R53" s="100"/>
      <c r="S53" s="100"/>
      <c r="T53" s="75"/>
      <c r="U53" s="75"/>
      <c r="V53" s="75"/>
      <c r="W53" s="75"/>
      <c r="X53" s="75"/>
      <c r="Y53" s="75"/>
      <c r="Z53" s="75"/>
    </row>
    <row r="54" spans="1:26" ht="72" customHeight="1" x14ac:dyDescent="0.35">
      <c r="A54" s="84" t="s">
        <v>241</v>
      </c>
      <c r="B54" s="85"/>
      <c r="C54" s="86"/>
      <c r="D54" s="86"/>
      <c r="E54" s="86"/>
      <c r="F54" s="86"/>
      <c r="G54" s="86" t="s">
        <v>242</v>
      </c>
      <c r="H54" s="87"/>
      <c r="I54" s="101" t="s">
        <v>28</v>
      </c>
      <c r="N54" s="41" t="s">
        <v>22</v>
      </c>
      <c r="R54" s="41" t="s">
        <v>22</v>
      </c>
      <c r="S54" s="41" t="s">
        <v>28</v>
      </c>
      <c r="T54" s="75"/>
      <c r="U54" s="75"/>
      <c r="V54" s="75"/>
      <c r="W54" s="75"/>
      <c r="X54" s="75"/>
      <c r="Y54" s="75"/>
      <c r="Z54" s="75"/>
    </row>
    <row r="55" spans="1:26" ht="72" customHeight="1" x14ac:dyDescent="0.35">
      <c r="A55" s="89" t="s">
        <v>243</v>
      </c>
      <c r="B55" s="90" t="s">
        <v>244</v>
      </c>
      <c r="C55" s="90" t="s">
        <v>245</v>
      </c>
      <c r="D55" s="91" t="s">
        <v>246</v>
      </c>
      <c r="E55" s="90" t="s">
        <v>247</v>
      </c>
      <c r="F55" s="92" t="s">
        <v>248</v>
      </c>
      <c r="G55" s="93" t="s">
        <v>249</v>
      </c>
      <c r="H55" s="94"/>
      <c r="I55" s="95" t="s">
        <v>28</v>
      </c>
      <c r="J55" s="96"/>
      <c r="K55" s="52"/>
      <c r="L55" s="97"/>
      <c r="M55" s="94"/>
      <c r="N55" s="90" t="s">
        <v>22</v>
      </c>
      <c r="O55" s="98"/>
      <c r="P55" s="99"/>
      <c r="Q55" s="94"/>
      <c r="R55" s="100" t="s">
        <v>22</v>
      </c>
      <c r="S55" s="100" t="s">
        <v>28</v>
      </c>
      <c r="T55" s="75"/>
      <c r="U55" s="75"/>
      <c r="V55" s="75"/>
      <c r="W55" s="75"/>
      <c r="X55" s="75"/>
      <c r="Y55" s="75"/>
      <c r="Z55" s="75"/>
    </row>
    <row r="56" spans="1:26" ht="72" customHeight="1" x14ac:dyDescent="0.35">
      <c r="A56" s="89" t="s">
        <v>250</v>
      </c>
      <c r="B56" s="90" t="s">
        <v>251</v>
      </c>
      <c r="C56" s="90" t="s">
        <v>252</v>
      </c>
      <c r="D56" s="91" t="s">
        <v>253</v>
      </c>
      <c r="E56" s="90" t="s">
        <v>254</v>
      </c>
      <c r="F56" s="92" t="s">
        <v>255</v>
      </c>
      <c r="G56" s="93" t="s">
        <v>256</v>
      </c>
      <c r="H56" s="94"/>
      <c r="I56" s="95" t="s">
        <v>28</v>
      </c>
      <c r="J56" s="96"/>
      <c r="K56" s="52"/>
      <c r="L56" s="97"/>
      <c r="M56" s="94"/>
      <c r="N56" s="90" t="s">
        <v>22</v>
      </c>
      <c r="O56" s="98"/>
      <c r="P56" s="99"/>
      <c r="Q56" s="94"/>
      <c r="R56" s="100" t="s">
        <v>22</v>
      </c>
      <c r="S56" s="100" t="s">
        <v>28</v>
      </c>
      <c r="T56" s="75"/>
      <c r="U56" s="75"/>
      <c r="V56" s="75"/>
      <c r="W56" s="75"/>
      <c r="X56" s="75"/>
      <c r="Y56" s="75"/>
      <c r="Z56" s="75"/>
    </row>
    <row r="57" spans="1:26" ht="72" customHeight="1" x14ac:dyDescent="0.35">
      <c r="A57" s="89" t="s">
        <v>257</v>
      </c>
      <c r="B57" s="90" t="s">
        <v>258</v>
      </c>
      <c r="C57" s="90" t="s">
        <v>259</v>
      </c>
      <c r="D57" s="91" t="s">
        <v>260</v>
      </c>
      <c r="E57" s="90" t="s">
        <v>261</v>
      </c>
      <c r="F57" s="92" t="s">
        <v>262</v>
      </c>
      <c r="G57" s="93" t="s">
        <v>263</v>
      </c>
      <c r="H57" s="94"/>
      <c r="I57" s="95" t="s">
        <v>28</v>
      </c>
      <c r="J57" s="96"/>
      <c r="K57" s="52"/>
      <c r="L57" s="97"/>
      <c r="M57" s="94"/>
      <c r="N57" s="90" t="s">
        <v>22</v>
      </c>
      <c r="O57" s="98"/>
      <c r="P57" s="99"/>
      <c r="Q57" s="94"/>
      <c r="R57" s="100" t="s">
        <v>22</v>
      </c>
      <c r="S57" s="100" t="s">
        <v>28</v>
      </c>
      <c r="T57" s="75"/>
      <c r="U57" s="75"/>
      <c r="V57" s="75"/>
      <c r="W57" s="75"/>
      <c r="X57" s="75"/>
      <c r="Y57" s="75"/>
      <c r="Z57" s="75"/>
    </row>
    <row r="58" spans="1:26" ht="72" customHeight="1" x14ac:dyDescent="0.35">
      <c r="A58" s="89" t="s">
        <v>264</v>
      </c>
      <c r="B58" s="90" t="s">
        <v>265</v>
      </c>
      <c r="C58" s="90" t="s">
        <v>266</v>
      </c>
      <c r="D58" s="91" t="s">
        <v>267</v>
      </c>
      <c r="E58" s="90" t="s">
        <v>268</v>
      </c>
      <c r="F58" s="92" t="s">
        <v>269</v>
      </c>
      <c r="G58" s="93" t="s">
        <v>270</v>
      </c>
      <c r="H58" s="94"/>
      <c r="I58" s="95" t="s">
        <v>28</v>
      </c>
      <c r="J58" s="96"/>
      <c r="K58" s="52"/>
      <c r="L58" s="97"/>
      <c r="M58" s="94"/>
      <c r="N58" s="90" t="s">
        <v>22</v>
      </c>
      <c r="O58" s="98"/>
      <c r="P58" s="99"/>
      <c r="Q58" s="94"/>
      <c r="R58" s="100" t="s">
        <v>22</v>
      </c>
      <c r="S58" s="100" t="s">
        <v>28</v>
      </c>
      <c r="T58" s="75"/>
      <c r="U58" s="75"/>
      <c r="V58" s="75"/>
      <c r="W58" s="75"/>
      <c r="X58" s="75"/>
      <c r="Y58" s="75"/>
      <c r="Z58" s="75"/>
    </row>
    <row r="59" spans="1:26" ht="72" customHeight="1" x14ac:dyDescent="0.35">
      <c r="A59" s="89" t="s">
        <v>271</v>
      </c>
      <c r="B59" s="90" t="s">
        <v>272</v>
      </c>
      <c r="C59" s="90" t="s">
        <v>273</v>
      </c>
      <c r="D59" s="91" t="s">
        <v>274</v>
      </c>
      <c r="E59" s="90" t="s">
        <v>275</v>
      </c>
      <c r="F59" s="92" t="s">
        <v>276</v>
      </c>
      <c r="G59" s="93" t="s">
        <v>277</v>
      </c>
      <c r="H59" s="94"/>
      <c r="I59" s="95" t="s">
        <v>28</v>
      </c>
      <c r="J59" s="96"/>
      <c r="K59" s="52"/>
      <c r="L59" s="97"/>
      <c r="M59" s="94"/>
      <c r="N59" s="90" t="s">
        <v>25</v>
      </c>
      <c r="O59" s="98"/>
      <c r="P59" s="99"/>
      <c r="Q59" s="94"/>
      <c r="R59" s="100" t="s">
        <v>25</v>
      </c>
      <c r="S59" s="100" t="s">
        <v>28</v>
      </c>
      <c r="T59" s="75"/>
      <c r="U59" s="75"/>
      <c r="V59" s="75"/>
      <c r="W59" s="75"/>
      <c r="X59" s="75"/>
      <c r="Y59" s="75"/>
      <c r="Z59" s="75"/>
    </row>
    <row r="60" spans="1:26" ht="61.5" customHeight="1" x14ac:dyDescent="0.35">
      <c r="A60" s="89" t="s">
        <v>278</v>
      </c>
      <c r="B60" s="90" t="s">
        <v>279</v>
      </c>
      <c r="C60" s="90" t="s">
        <v>280</v>
      </c>
      <c r="D60" s="91" t="s">
        <v>274</v>
      </c>
      <c r="E60" s="90" t="s">
        <v>281</v>
      </c>
      <c r="F60" s="92" t="s">
        <v>282</v>
      </c>
      <c r="G60" s="93"/>
      <c r="H60" s="94"/>
      <c r="I60" s="95"/>
      <c r="J60" s="96"/>
      <c r="K60" s="52"/>
      <c r="L60" s="97"/>
      <c r="M60" s="94"/>
      <c r="N60" s="90"/>
      <c r="O60" s="98"/>
      <c r="P60" s="99"/>
      <c r="Q60" s="94"/>
      <c r="R60" s="100"/>
      <c r="S60" s="100"/>
      <c r="T60" s="75"/>
      <c r="U60" s="75"/>
      <c r="V60" s="75"/>
      <c r="W60" s="75"/>
      <c r="X60" s="75"/>
      <c r="Y60" s="75"/>
      <c r="Z60" s="75"/>
    </row>
    <row r="61" spans="1:26" ht="72" customHeight="1" x14ac:dyDescent="0.35">
      <c r="A61" s="84" t="s">
        <v>283</v>
      </c>
      <c r="B61" s="85"/>
      <c r="C61" s="86"/>
      <c r="D61" s="86"/>
      <c r="E61" s="86"/>
      <c r="F61" s="86"/>
      <c r="G61" s="86" t="s">
        <v>284</v>
      </c>
      <c r="H61" s="87"/>
      <c r="I61" s="101" t="s">
        <v>28</v>
      </c>
      <c r="N61" s="41" t="s">
        <v>22</v>
      </c>
      <c r="R61" s="41" t="s">
        <v>22</v>
      </c>
      <c r="S61" s="41" t="s">
        <v>28</v>
      </c>
      <c r="T61" s="75"/>
      <c r="U61" s="75"/>
      <c r="V61" s="75"/>
      <c r="W61" s="75"/>
      <c r="X61" s="75"/>
      <c r="Y61" s="75"/>
      <c r="Z61" s="75"/>
    </row>
    <row r="62" spans="1:26" ht="72" customHeight="1" x14ac:dyDescent="0.35">
      <c r="A62" s="89" t="s">
        <v>285</v>
      </c>
      <c r="B62" s="90" t="s">
        <v>286</v>
      </c>
      <c r="C62" s="90" t="s">
        <v>287</v>
      </c>
      <c r="D62" s="91" t="s">
        <v>288</v>
      </c>
      <c r="E62" s="90" t="s">
        <v>289</v>
      </c>
      <c r="F62" s="92" t="s">
        <v>290</v>
      </c>
      <c r="G62" s="93" t="s">
        <v>291</v>
      </c>
      <c r="H62" s="94"/>
      <c r="I62" s="95" t="s">
        <v>28</v>
      </c>
      <c r="J62" s="96"/>
      <c r="K62" s="52"/>
      <c r="L62" s="97"/>
      <c r="M62" s="94"/>
      <c r="N62" s="90" t="s">
        <v>22</v>
      </c>
      <c r="O62" s="98"/>
      <c r="P62" s="99"/>
      <c r="Q62" s="94"/>
      <c r="R62" s="100" t="s">
        <v>22</v>
      </c>
      <c r="S62" s="100" t="s">
        <v>28</v>
      </c>
      <c r="T62" s="75"/>
      <c r="U62" s="75"/>
      <c r="V62" s="75"/>
      <c r="W62" s="75"/>
      <c r="X62" s="75"/>
      <c r="Y62" s="75"/>
      <c r="Z62" s="75"/>
    </row>
    <row r="63" spans="1:26" ht="72" customHeight="1" x14ac:dyDescent="0.35">
      <c r="A63" s="89" t="s">
        <v>292</v>
      </c>
      <c r="B63" s="90" t="s">
        <v>293</v>
      </c>
      <c r="C63" s="90" t="s">
        <v>294</v>
      </c>
      <c r="D63" s="91" t="s">
        <v>295</v>
      </c>
      <c r="E63" s="90" t="s">
        <v>296</v>
      </c>
      <c r="F63" s="92" t="s">
        <v>191</v>
      </c>
      <c r="G63" s="93" t="s">
        <v>297</v>
      </c>
      <c r="H63" s="94"/>
      <c r="I63" s="95" t="s">
        <v>28</v>
      </c>
      <c r="J63" s="96"/>
      <c r="K63" s="52"/>
      <c r="L63" s="97"/>
      <c r="M63" s="94"/>
      <c r="N63" s="90" t="s">
        <v>22</v>
      </c>
      <c r="O63" s="98"/>
      <c r="P63" s="99"/>
      <c r="Q63" s="94"/>
      <c r="R63" s="100" t="s">
        <v>22</v>
      </c>
      <c r="S63" s="100" t="s">
        <v>28</v>
      </c>
      <c r="T63" s="75"/>
      <c r="U63" s="75"/>
      <c r="V63" s="75"/>
      <c r="W63" s="75"/>
      <c r="X63" s="75"/>
      <c r="Y63" s="75"/>
      <c r="Z63" s="75"/>
    </row>
    <row r="64" spans="1:26" ht="72" customHeight="1" x14ac:dyDescent="0.35">
      <c r="A64" s="89" t="s">
        <v>298</v>
      </c>
      <c r="B64" s="90" t="s">
        <v>299</v>
      </c>
      <c r="C64" s="90" t="s">
        <v>300</v>
      </c>
      <c r="D64" s="91" t="s">
        <v>301</v>
      </c>
      <c r="E64" s="90" t="s">
        <v>302</v>
      </c>
      <c r="F64" s="92" t="s">
        <v>303</v>
      </c>
      <c r="G64" s="93" t="s">
        <v>304</v>
      </c>
      <c r="H64" s="94"/>
      <c r="I64" s="95" t="s">
        <v>28</v>
      </c>
      <c r="J64" s="96"/>
      <c r="K64" s="52"/>
      <c r="L64" s="97"/>
      <c r="M64" s="94"/>
      <c r="N64" s="90" t="s">
        <v>22</v>
      </c>
      <c r="O64" s="98"/>
      <c r="P64" s="99"/>
      <c r="Q64" s="94"/>
      <c r="R64" s="100" t="s">
        <v>22</v>
      </c>
      <c r="S64" s="100" t="s">
        <v>28</v>
      </c>
      <c r="T64" s="75"/>
      <c r="U64" s="75"/>
      <c r="V64" s="75"/>
      <c r="W64" s="75"/>
      <c r="X64" s="75"/>
      <c r="Y64" s="75"/>
      <c r="Z64" s="75"/>
    </row>
    <row r="65" spans="1:26" ht="72" customHeight="1" x14ac:dyDescent="0.35">
      <c r="A65" s="89" t="s">
        <v>305</v>
      </c>
      <c r="B65" s="90" t="s">
        <v>306</v>
      </c>
      <c r="C65" s="90" t="s">
        <v>307</v>
      </c>
      <c r="D65" s="91" t="s">
        <v>301</v>
      </c>
      <c r="E65" s="90" t="s">
        <v>308</v>
      </c>
      <c r="F65" s="92" t="s">
        <v>309</v>
      </c>
      <c r="G65" s="93" t="s">
        <v>310</v>
      </c>
      <c r="H65" s="94"/>
      <c r="I65" s="95" t="s">
        <v>28</v>
      </c>
      <c r="J65" s="96"/>
      <c r="K65" s="52"/>
      <c r="L65" s="97"/>
      <c r="M65" s="94"/>
      <c r="N65" s="90" t="s">
        <v>22</v>
      </c>
      <c r="O65" s="98"/>
      <c r="P65" s="99"/>
      <c r="Q65" s="94"/>
      <c r="R65" s="100" t="s">
        <v>22</v>
      </c>
      <c r="S65" s="100" t="s">
        <v>28</v>
      </c>
      <c r="T65" s="75"/>
      <c r="U65" s="75"/>
      <c r="V65" s="75"/>
      <c r="W65" s="75"/>
      <c r="X65" s="75"/>
      <c r="Y65" s="75"/>
      <c r="Z65" s="75"/>
    </row>
    <row r="66" spans="1:26" ht="61.5" customHeight="1" x14ac:dyDescent="0.35">
      <c r="A66" s="89" t="s">
        <v>311</v>
      </c>
      <c r="B66" s="90" t="s">
        <v>312</v>
      </c>
      <c r="C66" s="90" t="s">
        <v>313</v>
      </c>
      <c r="D66" s="91" t="s">
        <v>301</v>
      </c>
      <c r="E66" s="90" t="s">
        <v>314</v>
      </c>
      <c r="F66" s="92" t="s">
        <v>315</v>
      </c>
      <c r="G66" s="93"/>
      <c r="H66" s="94"/>
      <c r="I66" s="95"/>
      <c r="J66" s="96"/>
      <c r="K66" s="52"/>
      <c r="L66" s="97"/>
      <c r="M66" s="94"/>
      <c r="N66" s="90"/>
      <c r="O66" s="98"/>
      <c r="P66" s="99"/>
      <c r="Q66" s="94"/>
      <c r="R66" s="100"/>
      <c r="S66" s="100"/>
      <c r="T66" s="75"/>
      <c r="U66" s="75"/>
      <c r="V66" s="75"/>
      <c r="W66" s="75"/>
      <c r="X66" s="75"/>
      <c r="Y66" s="75"/>
      <c r="Z66" s="75"/>
    </row>
    <row r="67" spans="1:26" ht="72" customHeight="1" x14ac:dyDescent="0.35">
      <c r="A67" s="84" t="s">
        <v>316</v>
      </c>
      <c r="B67" s="85"/>
      <c r="C67" s="86"/>
      <c r="D67" s="86"/>
      <c r="E67" s="86"/>
      <c r="F67" s="86"/>
      <c r="G67" s="86" t="s">
        <v>317</v>
      </c>
      <c r="H67" s="87"/>
      <c r="I67" s="101" t="s">
        <v>28</v>
      </c>
      <c r="N67" s="41" t="s">
        <v>22</v>
      </c>
      <c r="R67" s="41" t="s">
        <v>22</v>
      </c>
      <c r="S67" s="41" t="s">
        <v>28</v>
      </c>
      <c r="T67" s="75"/>
      <c r="U67" s="75"/>
      <c r="V67" s="75"/>
      <c r="W67" s="75"/>
      <c r="X67" s="75"/>
      <c r="Y67" s="75"/>
      <c r="Z67" s="75"/>
    </row>
    <row r="68" spans="1:26" ht="72" customHeight="1" x14ac:dyDescent="0.35">
      <c r="A68" s="89" t="s">
        <v>318</v>
      </c>
      <c r="B68" s="90" t="s">
        <v>319</v>
      </c>
      <c r="C68" s="90" t="s">
        <v>320</v>
      </c>
      <c r="D68" s="91" t="s">
        <v>321</v>
      </c>
      <c r="E68" s="90" t="s">
        <v>322</v>
      </c>
      <c r="F68" s="92" t="s">
        <v>323</v>
      </c>
      <c r="G68" s="93" t="s">
        <v>324</v>
      </c>
      <c r="H68" s="94"/>
      <c r="I68" s="95" t="s">
        <v>28</v>
      </c>
      <c r="J68" s="96"/>
      <c r="K68" s="52"/>
      <c r="L68" s="97"/>
      <c r="M68" s="94"/>
      <c r="N68" s="90" t="s">
        <v>22</v>
      </c>
      <c r="O68" s="98"/>
      <c r="P68" s="99"/>
      <c r="Q68" s="94"/>
      <c r="R68" s="100" t="s">
        <v>22</v>
      </c>
      <c r="S68" s="100" t="s">
        <v>28</v>
      </c>
      <c r="T68" s="75"/>
      <c r="U68" s="75"/>
      <c r="V68" s="75"/>
      <c r="W68" s="75"/>
      <c r="X68" s="75"/>
      <c r="Y68" s="75"/>
      <c r="Z68" s="75"/>
    </row>
    <row r="69" spans="1:26" ht="61.5" customHeight="1" x14ac:dyDescent="0.35">
      <c r="A69" s="89" t="s">
        <v>325</v>
      </c>
      <c r="B69" s="90" t="s">
        <v>326</v>
      </c>
      <c r="C69" s="90" t="s">
        <v>327</v>
      </c>
      <c r="D69" s="91" t="s">
        <v>328</v>
      </c>
      <c r="E69" s="90" t="s">
        <v>329</v>
      </c>
      <c r="F69" s="92" t="s">
        <v>323</v>
      </c>
      <c r="G69" s="93"/>
      <c r="H69" s="94"/>
      <c r="I69" s="95"/>
      <c r="J69" s="96"/>
      <c r="K69" s="52"/>
      <c r="L69" s="97"/>
      <c r="M69" s="94"/>
      <c r="N69" s="90"/>
      <c r="O69" s="98"/>
      <c r="P69" s="99"/>
      <c r="Q69" s="94"/>
      <c r="R69" s="100"/>
      <c r="S69" s="100"/>
      <c r="T69" s="75"/>
      <c r="U69" s="75"/>
      <c r="V69" s="75"/>
      <c r="W69" s="75"/>
      <c r="X69" s="75"/>
      <c r="Y69" s="75"/>
      <c r="Z69" s="75"/>
    </row>
    <row r="70" spans="1:26" ht="72" customHeight="1" x14ac:dyDescent="0.35">
      <c r="A70" s="84" t="s">
        <v>330</v>
      </c>
      <c r="B70" s="85"/>
      <c r="C70" s="86"/>
      <c r="D70" s="86"/>
      <c r="E70" s="86"/>
      <c r="F70" s="86"/>
      <c r="G70" s="86" t="s">
        <v>331</v>
      </c>
      <c r="H70" s="87"/>
      <c r="I70" s="101" t="s">
        <v>28</v>
      </c>
      <c r="N70" s="41" t="s">
        <v>22</v>
      </c>
      <c r="R70" s="41" t="s">
        <v>22</v>
      </c>
      <c r="S70" s="41" t="s">
        <v>28</v>
      </c>
      <c r="T70" s="75"/>
      <c r="U70" s="75"/>
      <c r="V70" s="75"/>
      <c r="W70" s="75"/>
      <c r="X70" s="75"/>
      <c r="Y70" s="75"/>
      <c r="Z70" s="75"/>
    </row>
    <row r="71" spans="1:26" ht="72" customHeight="1" x14ac:dyDescent="0.35">
      <c r="A71" s="89" t="s">
        <v>332</v>
      </c>
      <c r="B71" s="90" t="s">
        <v>333</v>
      </c>
      <c r="C71" s="90" t="s">
        <v>334</v>
      </c>
      <c r="D71" s="91" t="s">
        <v>328</v>
      </c>
      <c r="E71" s="90" t="s">
        <v>335</v>
      </c>
      <c r="F71" s="92" t="s">
        <v>336</v>
      </c>
      <c r="G71" s="93" t="s">
        <v>337</v>
      </c>
      <c r="H71" s="94"/>
      <c r="I71" s="95" t="s">
        <v>28</v>
      </c>
      <c r="J71" s="96"/>
      <c r="K71" s="52"/>
      <c r="L71" s="97"/>
      <c r="M71" s="94"/>
      <c r="N71" s="90" t="s">
        <v>22</v>
      </c>
      <c r="O71" s="98"/>
      <c r="P71" s="99"/>
      <c r="Q71" s="94"/>
      <c r="R71" s="100" t="s">
        <v>22</v>
      </c>
      <c r="S71" s="100" t="s">
        <v>28</v>
      </c>
      <c r="T71" s="75"/>
      <c r="U71" s="75"/>
      <c r="V71" s="75"/>
      <c r="W71" s="75"/>
      <c r="X71" s="75"/>
      <c r="Y71" s="75"/>
      <c r="Z71" s="75"/>
    </row>
    <row r="72" spans="1:26" ht="72" customHeight="1" x14ac:dyDescent="0.35">
      <c r="A72" s="89" t="s">
        <v>338</v>
      </c>
      <c r="B72" s="90" t="s">
        <v>339</v>
      </c>
      <c r="C72" s="90" t="s">
        <v>340</v>
      </c>
      <c r="D72" s="91" t="s">
        <v>341</v>
      </c>
      <c r="E72" s="90" t="s">
        <v>342</v>
      </c>
      <c r="F72" s="92" t="s">
        <v>343</v>
      </c>
      <c r="G72" s="93" t="s">
        <v>344</v>
      </c>
      <c r="H72" s="94"/>
      <c r="I72" s="95" t="s">
        <v>28</v>
      </c>
      <c r="J72" s="96"/>
      <c r="K72" s="52"/>
      <c r="L72" s="97"/>
      <c r="M72" s="94"/>
      <c r="N72" s="90" t="s">
        <v>22</v>
      </c>
      <c r="O72" s="98"/>
      <c r="P72" s="99"/>
      <c r="Q72" s="94"/>
      <c r="R72" s="100" t="s">
        <v>22</v>
      </c>
      <c r="S72" s="100" t="s">
        <v>28</v>
      </c>
      <c r="T72" s="75"/>
      <c r="U72" s="75"/>
      <c r="V72" s="75"/>
      <c r="W72" s="75"/>
      <c r="X72" s="75"/>
      <c r="Y72" s="75"/>
      <c r="Z72" s="75"/>
    </row>
    <row r="73" spans="1:26" ht="72" customHeight="1" x14ac:dyDescent="0.35">
      <c r="A73" s="89" t="s">
        <v>345</v>
      </c>
      <c r="B73" s="90" t="s">
        <v>346</v>
      </c>
      <c r="C73" s="90" t="s">
        <v>347</v>
      </c>
      <c r="D73" s="91" t="s">
        <v>341</v>
      </c>
      <c r="E73" s="90" t="s">
        <v>348</v>
      </c>
      <c r="F73" s="92" t="s">
        <v>349</v>
      </c>
      <c r="G73" s="93" t="s">
        <v>350</v>
      </c>
      <c r="H73" s="94"/>
      <c r="I73" s="95" t="s">
        <v>28</v>
      </c>
      <c r="J73" s="96"/>
      <c r="K73" s="52"/>
      <c r="L73" s="97"/>
      <c r="M73" s="94"/>
      <c r="N73" s="90" t="s">
        <v>22</v>
      </c>
      <c r="O73" s="98"/>
      <c r="P73" s="99"/>
      <c r="Q73" s="94"/>
      <c r="R73" s="100" t="s">
        <v>22</v>
      </c>
      <c r="S73" s="100" t="s">
        <v>28</v>
      </c>
      <c r="T73" s="75"/>
      <c r="U73" s="75"/>
      <c r="V73" s="75"/>
      <c r="W73" s="75"/>
      <c r="X73" s="75"/>
      <c r="Y73" s="75"/>
      <c r="Z73" s="75"/>
    </row>
    <row r="74" spans="1:26" ht="72" customHeight="1" x14ac:dyDescent="0.35">
      <c r="A74" s="89" t="s">
        <v>351</v>
      </c>
      <c r="B74" s="90" t="s">
        <v>352</v>
      </c>
      <c r="C74" s="90" t="s">
        <v>353</v>
      </c>
      <c r="D74" s="91" t="s">
        <v>341</v>
      </c>
      <c r="E74" s="90" t="s">
        <v>354</v>
      </c>
      <c r="F74" s="92" t="s">
        <v>355</v>
      </c>
      <c r="G74" s="93" t="s">
        <v>356</v>
      </c>
      <c r="H74" s="94"/>
      <c r="I74" s="95" t="s">
        <v>28</v>
      </c>
      <c r="J74" s="96"/>
      <c r="K74" s="52"/>
      <c r="L74" s="97"/>
      <c r="M74" s="94"/>
      <c r="N74" s="90" t="s">
        <v>25</v>
      </c>
      <c r="O74" s="98"/>
      <c r="P74" s="99"/>
      <c r="Q74" s="94"/>
      <c r="R74" s="100" t="s">
        <v>25</v>
      </c>
      <c r="S74" s="100" t="s">
        <v>28</v>
      </c>
      <c r="T74" s="75"/>
      <c r="U74" s="75"/>
      <c r="V74" s="75"/>
      <c r="W74" s="75"/>
      <c r="X74" s="75"/>
      <c r="Y74" s="75"/>
      <c r="Z74" s="75"/>
    </row>
    <row r="75" spans="1:26" ht="72" customHeight="1" x14ac:dyDescent="0.35">
      <c r="A75" s="89" t="s">
        <v>357</v>
      </c>
      <c r="B75" s="90" t="s">
        <v>358</v>
      </c>
      <c r="C75" s="90" t="s">
        <v>359</v>
      </c>
      <c r="D75" s="91" t="s">
        <v>341</v>
      </c>
      <c r="E75" s="90" t="s">
        <v>360</v>
      </c>
      <c r="F75" s="92" t="s">
        <v>361</v>
      </c>
      <c r="G75" s="93" t="s">
        <v>362</v>
      </c>
      <c r="H75" s="94"/>
      <c r="I75" s="95" t="s">
        <v>28</v>
      </c>
      <c r="J75" s="96"/>
      <c r="K75" s="52"/>
      <c r="L75" s="97"/>
      <c r="M75" s="94"/>
      <c r="N75" s="90" t="s">
        <v>22</v>
      </c>
      <c r="O75" s="98"/>
      <c r="P75" s="99"/>
      <c r="Q75" s="94"/>
      <c r="R75" s="100" t="s">
        <v>22</v>
      </c>
      <c r="S75" s="100" t="s">
        <v>28</v>
      </c>
      <c r="T75" s="75"/>
      <c r="U75" s="75"/>
      <c r="V75" s="75"/>
      <c r="W75" s="75"/>
      <c r="X75" s="75"/>
      <c r="Y75" s="75"/>
      <c r="Z75" s="75"/>
    </row>
    <row r="76" spans="1:26" ht="72" customHeight="1" x14ac:dyDescent="0.35">
      <c r="A76" s="89" t="s">
        <v>363</v>
      </c>
      <c r="B76" s="90" t="s">
        <v>364</v>
      </c>
      <c r="C76" s="90" t="s">
        <v>365</v>
      </c>
      <c r="D76" s="91" t="s">
        <v>366</v>
      </c>
      <c r="E76" s="90" t="s">
        <v>367</v>
      </c>
      <c r="F76" s="92" t="s">
        <v>368</v>
      </c>
      <c r="G76" s="93" t="s">
        <v>369</v>
      </c>
      <c r="H76" s="94"/>
      <c r="I76" s="95" t="s">
        <v>28</v>
      </c>
      <c r="J76" s="96"/>
      <c r="K76" s="52"/>
      <c r="L76" s="97"/>
      <c r="M76" s="94"/>
      <c r="N76" s="90" t="s">
        <v>22</v>
      </c>
      <c r="O76" s="98"/>
      <c r="P76" s="99"/>
      <c r="Q76" s="94"/>
      <c r="R76" s="100" t="s">
        <v>22</v>
      </c>
      <c r="S76" s="100" t="s">
        <v>28</v>
      </c>
      <c r="T76" s="75"/>
      <c r="U76" s="75"/>
      <c r="V76" s="75"/>
      <c r="W76" s="75"/>
      <c r="X76" s="75"/>
      <c r="Y76" s="75"/>
      <c r="Z76" s="75"/>
    </row>
    <row r="77" spans="1:26" ht="61.5" customHeight="1" x14ac:dyDescent="0.35">
      <c r="A77" s="89" t="s">
        <v>370</v>
      </c>
      <c r="B77" s="90" t="s">
        <v>371</v>
      </c>
      <c r="C77" s="90" t="s">
        <v>372</v>
      </c>
      <c r="D77" s="91" t="s">
        <v>328</v>
      </c>
      <c r="E77" s="90" t="s">
        <v>373</v>
      </c>
      <c r="F77" s="92" t="s">
        <v>374</v>
      </c>
      <c r="G77" s="93"/>
      <c r="H77" s="94"/>
      <c r="I77" s="95"/>
      <c r="J77" s="96"/>
      <c r="K77" s="52"/>
      <c r="L77" s="97"/>
      <c r="M77" s="94"/>
      <c r="N77" s="90"/>
      <c r="O77" s="98"/>
      <c r="P77" s="99"/>
      <c r="Q77" s="94"/>
      <c r="R77" s="100"/>
      <c r="S77" s="100"/>
      <c r="T77" s="75"/>
      <c r="U77" s="75"/>
      <c r="V77" s="75"/>
      <c r="W77" s="75"/>
      <c r="X77" s="75"/>
      <c r="Y77" s="75"/>
      <c r="Z77" s="75"/>
    </row>
    <row r="78" spans="1:26" ht="12.75" customHeight="1" x14ac:dyDescent="0.35">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spans="1:26" ht="12.75" customHeight="1" x14ac:dyDescent="0.35">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spans="1:26" ht="12.75" customHeight="1" x14ac:dyDescent="0.35">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spans="1:26" ht="12.75" customHeight="1" x14ac:dyDescent="0.35">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spans="1:26" ht="12.75" customHeight="1" x14ac:dyDescent="0.35">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spans="1:26" ht="12.75" customHeight="1" x14ac:dyDescent="0.35">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spans="1:26" ht="12.75" customHeight="1" x14ac:dyDescent="0.35">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spans="1:26" ht="12.75" customHeight="1" x14ac:dyDescent="0.35">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spans="1:26" ht="12.75" customHeight="1" x14ac:dyDescent="0.35">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spans="1:26" ht="12.75" customHeight="1" x14ac:dyDescent="0.35">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spans="1:26" ht="12.75" customHeight="1" x14ac:dyDescent="0.35">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spans="1:26" ht="12.75" customHeight="1" x14ac:dyDescent="0.35">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spans="1:26" ht="12.75" customHeight="1" x14ac:dyDescent="0.35">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26" ht="12.75" customHeight="1" x14ac:dyDescent="0.35">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spans="1:26" ht="12.75" customHeight="1" x14ac:dyDescent="0.35">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spans="1:26" ht="12.75" customHeight="1" x14ac:dyDescent="0.35">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spans="1:26" ht="12.75" customHeight="1" x14ac:dyDescent="0.35">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spans="1:26" ht="12.75" customHeight="1" x14ac:dyDescent="0.35">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spans="1:26" ht="12.75" customHeight="1" x14ac:dyDescent="0.35">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spans="1:26" ht="12.75" customHeight="1" x14ac:dyDescent="0.35">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spans="1:26" ht="12.75" customHeight="1" x14ac:dyDescent="0.35">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spans="1:26" ht="12.75" customHeight="1" x14ac:dyDescent="0.35">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spans="1:26" ht="12.75" customHeight="1" x14ac:dyDescent="0.35">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spans="1:26" ht="12.75" customHeight="1" x14ac:dyDescent="0.35">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spans="1:26" ht="12.75" customHeight="1" x14ac:dyDescent="0.35">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spans="1:26" ht="12.75" customHeight="1" x14ac:dyDescent="0.35">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spans="1:26" ht="12.75" customHeight="1" x14ac:dyDescent="0.35">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spans="1:26" ht="12.75" customHeight="1" x14ac:dyDescent="0.35">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spans="1:26" ht="12.75" customHeight="1" x14ac:dyDescent="0.35">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spans="1:26" ht="12.75" customHeight="1" x14ac:dyDescent="0.35">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spans="1:26" ht="12.75" customHeight="1" x14ac:dyDescent="0.35">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spans="1:26" ht="12.75" customHeight="1" x14ac:dyDescent="0.35">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spans="1:26" ht="12.75" customHeight="1" x14ac:dyDescent="0.35">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spans="1:26" ht="12.75" customHeight="1" x14ac:dyDescent="0.35">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spans="1:26" ht="12.75" customHeight="1" x14ac:dyDescent="0.35">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spans="1:26" ht="12.75" customHeight="1" x14ac:dyDescent="0.35">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spans="1:26" ht="12.75" customHeight="1" x14ac:dyDescent="0.35">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spans="1:26" ht="12.75" customHeight="1" x14ac:dyDescent="0.35">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spans="1:26" ht="12.75" customHeight="1" x14ac:dyDescent="0.35">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spans="1:26" ht="12.75" customHeight="1" x14ac:dyDescent="0.35">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spans="1:26" ht="12.75" customHeight="1" x14ac:dyDescent="0.35">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spans="1:26" ht="12.75" customHeight="1" x14ac:dyDescent="0.35">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spans="1:26" ht="12.75" customHeight="1" x14ac:dyDescent="0.35">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spans="1:26" ht="12.75" customHeight="1" x14ac:dyDescent="0.35">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spans="1:26" ht="12.75" customHeight="1" x14ac:dyDescent="0.35">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spans="1:26" ht="12.75" customHeight="1" x14ac:dyDescent="0.35">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spans="1:26" ht="12.75" customHeight="1" x14ac:dyDescent="0.35">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spans="1:26" ht="12.75" customHeight="1" x14ac:dyDescent="0.35">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spans="1:26" ht="12.75" customHeight="1" x14ac:dyDescent="0.35">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spans="1:26" ht="12.75" customHeight="1" x14ac:dyDescent="0.35">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spans="1:26" ht="12.75" customHeight="1" x14ac:dyDescent="0.35">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spans="1:26" ht="12.75" customHeight="1" x14ac:dyDescent="0.35">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spans="1:26" ht="12.75" customHeight="1" x14ac:dyDescent="0.35">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spans="1:26" ht="12.75" customHeight="1" x14ac:dyDescent="0.35">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spans="1:26" ht="12.75" customHeight="1" x14ac:dyDescent="0.35">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spans="1:26" ht="12.75" customHeight="1" x14ac:dyDescent="0.35">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spans="1:26" ht="12.75" customHeight="1" x14ac:dyDescent="0.35">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spans="1:26" ht="12.75" customHeight="1" x14ac:dyDescent="0.35">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spans="1:26" ht="12.75" customHeight="1" x14ac:dyDescent="0.35">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spans="1:26" ht="12.75" customHeight="1" x14ac:dyDescent="0.35">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spans="1:26" ht="12.75" customHeight="1" x14ac:dyDescent="0.35">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spans="1:26" ht="12.75" customHeight="1" x14ac:dyDescent="0.35">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spans="1:26" ht="12.75" customHeight="1" x14ac:dyDescent="0.35">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spans="1:26" ht="12.75" customHeight="1" x14ac:dyDescent="0.35">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spans="1:26" ht="12.75" customHeight="1" x14ac:dyDescent="0.35">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spans="1:26" ht="12.75" customHeight="1" x14ac:dyDescent="0.35">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spans="1:26" ht="12.75" customHeight="1" x14ac:dyDescent="0.35">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spans="1:26" ht="12.75" customHeight="1" x14ac:dyDescent="0.35">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spans="1:26" ht="12.75" customHeight="1" x14ac:dyDescent="0.35">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spans="1:26" ht="12.75" customHeight="1" x14ac:dyDescent="0.35">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spans="1:26" ht="12.75" customHeight="1" x14ac:dyDescent="0.35">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spans="1:26" ht="12.75" customHeight="1" x14ac:dyDescent="0.35">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spans="1:26" ht="12.75" customHeight="1" x14ac:dyDescent="0.35">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spans="1:26" ht="12.75" customHeight="1" x14ac:dyDescent="0.35">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spans="1:26" ht="12.75" customHeight="1" x14ac:dyDescent="0.35">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spans="1:26" ht="12.75" customHeight="1" x14ac:dyDescent="0.35">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spans="1:26" ht="12.75" customHeight="1" x14ac:dyDescent="0.35">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spans="1:26" ht="12.75" customHeight="1" x14ac:dyDescent="0.35">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spans="1:26" ht="12.75" customHeight="1" x14ac:dyDescent="0.35">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spans="1:26" ht="12.75" customHeight="1" x14ac:dyDescent="0.35">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spans="1:26" ht="12.75" customHeight="1" x14ac:dyDescent="0.35">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spans="1:26" ht="12.75" customHeight="1" x14ac:dyDescent="0.35">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spans="1:26" ht="12.75" customHeight="1" x14ac:dyDescent="0.35">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spans="1:26" ht="12.75" customHeight="1" x14ac:dyDescent="0.35">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spans="1:26" ht="12.75" customHeight="1" x14ac:dyDescent="0.35">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spans="1:26" ht="12.75" customHeight="1" x14ac:dyDescent="0.35">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spans="1:26" ht="12.75" customHeight="1" x14ac:dyDescent="0.35">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spans="1:26" ht="12.75" customHeight="1" x14ac:dyDescent="0.35">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spans="1:26" ht="12.75" customHeight="1" x14ac:dyDescent="0.35">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spans="1:26" ht="12.75" customHeight="1" x14ac:dyDescent="0.35">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spans="1:26" ht="12.75" customHeight="1" x14ac:dyDescent="0.35">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spans="1:26" ht="12.75" customHeight="1" x14ac:dyDescent="0.35">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spans="1:26" ht="12.75" customHeight="1" x14ac:dyDescent="0.35">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spans="1:26" ht="12.75" customHeight="1" x14ac:dyDescent="0.35">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spans="1:26" ht="12.75" customHeight="1" x14ac:dyDescent="0.35">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spans="1:26" ht="12.75" customHeight="1" x14ac:dyDescent="0.35">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spans="1:26" ht="12.75" customHeight="1" x14ac:dyDescent="0.35">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spans="1:26" ht="12.75" customHeight="1" x14ac:dyDescent="0.35">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spans="1:26" ht="12.75" customHeight="1" x14ac:dyDescent="0.35">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spans="1:26" ht="12.75" customHeight="1" x14ac:dyDescent="0.35">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spans="1:26" ht="12.75" customHeight="1" x14ac:dyDescent="0.35">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spans="1:26" ht="12.75" customHeight="1" x14ac:dyDescent="0.35">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spans="1:26" ht="12.75" customHeight="1" x14ac:dyDescent="0.35">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spans="1:26" ht="12.75" customHeight="1" x14ac:dyDescent="0.35">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spans="1:26" ht="12.75" customHeight="1" x14ac:dyDescent="0.35">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spans="1:26" ht="12.75" customHeight="1" x14ac:dyDescent="0.35">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spans="1:26" ht="12.75" customHeight="1" x14ac:dyDescent="0.35">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spans="1:26" ht="12.75" customHeight="1" x14ac:dyDescent="0.35">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spans="1:26" ht="12.75" customHeight="1" x14ac:dyDescent="0.35">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spans="1:26" ht="12.75" customHeight="1" x14ac:dyDescent="0.35">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spans="1:26" ht="12.75" customHeight="1" x14ac:dyDescent="0.35">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spans="1:26" ht="12.75" customHeight="1" x14ac:dyDescent="0.35">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spans="1:26" ht="12.75" customHeight="1" x14ac:dyDescent="0.35">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spans="1:26" ht="12.75" customHeight="1" x14ac:dyDescent="0.35">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spans="1:26" ht="12.75" customHeight="1" x14ac:dyDescent="0.35">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spans="1:26" ht="12.75" customHeight="1" x14ac:dyDescent="0.35">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spans="1:26" ht="12.75" customHeight="1" x14ac:dyDescent="0.35">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spans="1:26" ht="12.75" customHeight="1" x14ac:dyDescent="0.35">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spans="1:26" ht="12.75" customHeight="1" x14ac:dyDescent="0.35">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spans="1:26" ht="12.75" customHeight="1" x14ac:dyDescent="0.35">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spans="1:26" ht="12.75" customHeight="1" x14ac:dyDescent="0.35">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spans="1:26" ht="12.75" customHeight="1" x14ac:dyDescent="0.35">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spans="1:26" ht="12.75" customHeight="1" x14ac:dyDescent="0.35">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spans="1:26" ht="12.75" customHeight="1" x14ac:dyDescent="0.35">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spans="1:26" ht="12.75" customHeight="1" x14ac:dyDescent="0.35">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spans="1:26" ht="12.75" customHeight="1" x14ac:dyDescent="0.35">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spans="1:26" ht="12.75" customHeight="1" x14ac:dyDescent="0.35">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spans="1:26" ht="12.75" customHeight="1" x14ac:dyDescent="0.35">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spans="1:26" ht="12.75" customHeight="1" x14ac:dyDescent="0.35">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spans="1:26" ht="12.75" customHeight="1" x14ac:dyDescent="0.35">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spans="1:26" ht="12.75" customHeight="1" x14ac:dyDescent="0.35">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spans="1:26" ht="12.75" customHeight="1" x14ac:dyDescent="0.35">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spans="1:26" ht="12.75" customHeight="1" x14ac:dyDescent="0.35">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spans="1:26" ht="12.75" customHeight="1" x14ac:dyDescent="0.35">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spans="1:26" ht="12.75" customHeight="1" x14ac:dyDescent="0.35">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spans="1:26" ht="12.75" customHeight="1" x14ac:dyDescent="0.35">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spans="1:26" ht="12.75" customHeight="1" x14ac:dyDescent="0.35">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spans="1:26" ht="12.75" customHeight="1" x14ac:dyDescent="0.35">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spans="1:26" ht="12.75" customHeight="1" x14ac:dyDescent="0.35">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spans="1:26" ht="12.75" customHeight="1" x14ac:dyDescent="0.35">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spans="1:26" ht="12.75" customHeight="1" x14ac:dyDescent="0.35">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spans="1:26" ht="12.75" customHeight="1" x14ac:dyDescent="0.35">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spans="1:26" ht="12.75" customHeight="1" x14ac:dyDescent="0.35">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spans="1:26" ht="12.75" customHeight="1" x14ac:dyDescent="0.35">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spans="1:26" ht="12.75" customHeight="1" x14ac:dyDescent="0.35">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spans="1:26" ht="12.75" customHeight="1" x14ac:dyDescent="0.35">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spans="1:26" ht="12.75" customHeight="1" x14ac:dyDescent="0.35">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spans="1:26" ht="12.75" customHeight="1" x14ac:dyDescent="0.35">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spans="1:26" ht="12.75" customHeight="1" x14ac:dyDescent="0.35">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spans="1:26" ht="12.75" customHeight="1" x14ac:dyDescent="0.35">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spans="1:26" ht="12.75" customHeight="1" x14ac:dyDescent="0.35">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spans="1:26" ht="12.75" customHeight="1" x14ac:dyDescent="0.35">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spans="1:26" ht="12.75" customHeight="1" x14ac:dyDescent="0.35">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spans="1:26" ht="12.75" customHeight="1" x14ac:dyDescent="0.35">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spans="1:26" ht="12.75" customHeight="1" x14ac:dyDescent="0.35">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spans="1:26" ht="12.75" customHeight="1" x14ac:dyDescent="0.35">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spans="1:26" ht="12.75" customHeight="1" x14ac:dyDescent="0.35">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spans="1:26" ht="12.75" customHeight="1" x14ac:dyDescent="0.35">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spans="1:26" ht="12.75" customHeight="1" x14ac:dyDescent="0.35">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spans="1:26" ht="12.75" customHeight="1" x14ac:dyDescent="0.35">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spans="1:26" ht="12.75" customHeight="1" x14ac:dyDescent="0.35">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spans="1:26" ht="12.75" customHeight="1" x14ac:dyDescent="0.35">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spans="1:26" ht="12.75" customHeight="1" x14ac:dyDescent="0.35">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spans="1:26" ht="12.75" customHeight="1" x14ac:dyDescent="0.35">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spans="1:26" ht="12.75" customHeight="1" x14ac:dyDescent="0.35">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spans="1:26" ht="12.75" customHeight="1" x14ac:dyDescent="0.35">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spans="1:26" ht="12.75" customHeight="1" x14ac:dyDescent="0.35">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spans="1:26" ht="12.75" customHeight="1" x14ac:dyDescent="0.35">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spans="1:26" ht="12.75" customHeight="1" x14ac:dyDescent="0.35">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spans="1:26" ht="12.75" customHeight="1" x14ac:dyDescent="0.35">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spans="1:26" ht="12.75" customHeight="1" x14ac:dyDescent="0.35">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spans="1:26" ht="12.75" customHeight="1" x14ac:dyDescent="0.35">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spans="1:26" ht="12.75" customHeight="1" x14ac:dyDescent="0.35">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spans="1:26" ht="12.75" customHeight="1" x14ac:dyDescent="0.35">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spans="1:26" ht="12.75" customHeight="1" x14ac:dyDescent="0.35">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spans="1:26" ht="12.75" customHeight="1" x14ac:dyDescent="0.35">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spans="1:26" ht="12.75" customHeight="1" x14ac:dyDescent="0.35">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spans="1:26" ht="12.75" customHeight="1" x14ac:dyDescent="0.35">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spans="1:26" ht="12.75" customHeight="1" x14ac:dyDescent="0.35">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spans="1:26" ht="12.75" customHeight="1" x14ac:dyDescent="0.35">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spans="1:26" ht="12.75" customHeight="1" x14ac:dyDescent="0.35">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spans="1:26" ht="12.75" customHeight="1" x14ac:dyDescent="0.35">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spans="1:26" ht="12.75" customHeight="1" x14ac:dyDescent="0.35">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spans="1:26" ht="12.75" customHeight="1" x14ac:dyDescent="0.35">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spans="1:26" ht="12.75" customHeight="1" x14ac:dyDescent="0.35">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spans="1:26" ht="12.75" customHeight="1" x14ac:dyDescent="0.35">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spans="1:26" ht="12.75" customHeight="1" x14ac:dyDescent="0.35">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spans="1:26" ht="12.75" customHeight="1" x14ac:dyDescent="0.35">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spans="1:26" ht="12.75" customHeight="1" x14ac:dyDescent="0.35">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spans="1:26" ht="12.75" customHeight="1" x14ac:dyDescent="0.35">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spans="1:26" ht="12.75" customHeight="1" x14ac:dyDescent="0.35">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spans="1:26" ht="12.75" customHeight="1" x14ac:dyDescent="0.35">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spans="1:26" ht="12.75" customHeight="1" x14ac:dyDescent="0.35">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spans="1:26" ht="12.75" customHeight="1" x14ac:dyDescent="0.35">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spans="1:26" ht="12.75" customHeight="1" x14ac:dyDescent="0.35">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spans="1:26" ht="12.75" customHeight="1" x14ac:dyDescent="0.35">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spans="1:26" ht="12.75" customHeight="1" x14ac:dyDescent="0.35">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spans="1:26" ht="12.75" customHeight="1" x14ac:dyDescent="0.35">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spans="1:26" ht="12.75" customHeight="1" x14ac:dyDescent="0.35">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spans="1:26" ht="12.75" customHeight="1" x14ac:dyDescent="0.35">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spans="1:26" ht="12.75" customHeight="1" x14ac:dyDescent="0.35">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spans="1:26" ht="12.75" customHeight="1" x14ac:dyDescent="0.35">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spans="1:26" ht="12.75" customHeight="1" x14ac:dyDescent="0.35">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spans="1:26" ht="12.75" customHeight="1" x14ac:dyDescent="0.35">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spans="1:26" ht="12.75" customHeight="1" x14ac:dyDescent="0.35">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spans="1:26" ht="12.75" customHeight="1" x14ac:dyDescent="0.35">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spans="1:26" ht="12.75" customHeight="1" x14ac:dyDescent="0.35">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spans="1:26" ht="12.75" customHeight="1" x14ac:dyDescent="0.35">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spans="1:26" ht="12.75" customHeight="1" x14ac:dyDescent="0.35">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spans="1:26" ht="12.75" customHeight="1" x14ac:dyDescent="0.35">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spans="1:26" ht="12.75" customHeight="1" x14ac:dyDescent="0.35">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spans="1:26" ht="12.75" customHeight="1" x14ac:dyDescent="0.35">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spans="1:26" ht="12.75" customHeight="1" x14ac:dyDescent="0.35">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spans="1:26" ht="12.75" customHeight="1" x14ac:dyDescent="0.35">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spans="1:26" ht="12.75" customHeight="1" x14ac:dyDescent="0.35">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spans="1:26" ht="12.75" customHeight="1" x14ac:dyDescent="0.35">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spans="1:26" ht="12.75" customHeight="1" x14ac:dyDescent="0.35">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spans="1:26" ht="12.75" customHeight="1" x14ac:dyDescent="0.35">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spans="1:26" ht="12.75" customHeight="1" x14ac:dyDescent="0.35">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spans="1:26" ht="12.75" customHeight="1" x14ac:dyDescent="0.35">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spans="1:26" ht="12.75" customHeight="1" x14ac:dyDescent="0.35">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spans="1:26" ht="12.75" customHeight="1" x14ac:dyDescent="0.35">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spans="1:26" ht="12.75" customHeight="1" x14ac:dyDescent="0.35">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spans="1:26" ht="12.75" customHeight="1" x14ac:dyDescent="0.35">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spans="1:26" ht="12.75" customHeight="1" x14ac:dyDescent="0.35">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spans="1:26" ht="12.75" customHeight="1" x14ac:dyDescent="0.35">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spans="1:26" ht="12.75" customHeight="1" x14ac:dyDescent="0.35">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spans="1:26" ht="12.75" customHeight="1" x14ac:dyDescent="0.35">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spans="1:26" ht="12.75" customHeight="1" x14ac:dyDescent="0.35">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spans="1:26" ht="12.75" customHeight="1" x14ac:dyDescent="0.35">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spans="1:26" ht="12.75" customHeight="1" x14ac:dyDescent="0.35">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spans="1:26" ht="12.75" customHeight="1" x14ac:dyDescent="0.35">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spans="1:26" ht="12.75" customHeight="1" x14ac:dyDescent="0.35">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spans="1:26" ht="12.75" customHeight="1" x14ac:dyDescent="0.35">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spans="1:26" ht="12.75" customHeight="1" x14ac:dyDescent="0.35">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spans="1:26" ht="12.75" customHeight="1" x14ac:dyDescent="0.35">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spans="1:26" ht="12.75" customHeight="1" x14ac:dyDescent="0.35">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spans="1:26" ht="12.75" customHeight="1" x14ac:dyDescent="0.35">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spans="1:26" ht="12.75" customHeight="1" x14ac:dyDescent="0.35">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spans="1:26" ht="12.75" customHeight="1" x14ac:dyDescent="0.35">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spans="1:26" ht="12.75" customHeight="1" x14ac:dyDescent="0.35">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spans="1:26" ht="12.75" customHeight="1" x14ac:dyDescent="0.35">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spans="1:26" ht="12.75" customHeight="1" x14ac:dyDescent="0.35">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spans="1:26" ht="12.75" customHeight="1" x14ac:dyDescent="0.35">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spans="1:26" ht="12.75" customHeight="1" x14ac:dyDescent="0.35">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spans="1:26" ht="12.75" customHeight="1" x14ac:dyDescent="0.35">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spans="1:26" ht="12.75" customHeight="1" x14ac:dyDescent="0.35">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spans="1:26" ht="12.75" customHeight="1" x14ac:dyDescent="0.35">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spans="1:26" ht="12.75" customHeight="1" x14ac:dyDescent="0.35">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spans="1:26" ht="12.75" customHeight="1" x14ac:dyDescent="0.35">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spans="1:26" ht="12.75" customHeight="1" x14ac:dyDescent="0.35">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spans="1:26" ht="12.75" customHeight="1" x14ac:dyDescent="0.35">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spans="1:26" ht="12.75" customHeight="1" x14ac:dyDescent="0.35">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spans="1:26" ht="12.75" customHeight="1" x14ac:dyDescent="0.35">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spans="1:26" ht="12.75" customHeight="1" x14ac:dyDescent="0.35">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spans="1:26" ht="12.75" customHeight="1" x14ac:dyDescent="0.35">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spans="1:26" ht="12.75" customHeight="1" x14ac:dyDescent="0.35">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spans="1:26" ht="12.75" customHeight="1" x14ac:dyDescent="0.35">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spans="1:26" ht="12.75" customHeight="1" x14ac:dyDescent="0.35">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spans="1:26" ht="12.75" customHeight="1" x14ac:dyDescent="0.35">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spans="1:26" ht="12.75" customHeight="1" x14ac:dyDescent="0.35">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spans="1:26" ht="12.75" customHeight="1" x14ac:dyDescent="0.35">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spans="1:26" ht="12.75" customHeight="1" x14ac:dyDescent="0.35">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spans="1:26" ht="12.75" customHeight="1" x14ac:dyDescent="0.35">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spans="1:26" ht="12.75" customHeight="1" x14ac:dyDescent="0.35">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spans="1:26" ht="12.75" customHeight="1" x14ac:dyDescent="0.35">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spans="1:26" ht="12.75" customHeight="1" x14ac:dyDescent="0.35">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spans="1:26" ht="12.75" customHeight="1" x14ac:dyDescent="0.35">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spans="1:26" ht="12.75" customHeight="1" x14ac:dyDescent="0.35">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spans="1:26" ht="12.75" customHeight="1" x14ac:dyDescent="0.35">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spans="1:26" ht="12.75" customHeight="1" x14ac:dyDescent="0.35">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spans="1:26" ht="12.75" customHeight="1" x14ac:dyDescent="0.35">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spans="1:26" ht="12.75" customHeight="1" x14ac:dyDescent="0.35">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spans="1:26" ht="12.75" customHeight="1" x14ac:dyDescent="0.35">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spans="1:26" ht="12.75" customHeight="1" x14ac:dyDescent="0.35">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spans="1:26" ht="12.75" customHeight="1" x14ac:dyDescent="0.35">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spans="1:26" ht="12.75" customHeight="1" x14ac:dyDescent="0.35">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spans="1:26" ht="12.75" customHeight="1" x14ac:dyDescent="0.35">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spans="1:26" ht="12.75" customHeight="1" x14ac:dyDescent="0.35">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spans="1:26" ht="12.75" customHeight="1" x14ac:dyDescent="0.35">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spans="1:26" ht="12.75" customHeight="1" x14ac:dyDescent="0.35">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spans="1:26" ht="12.75" customHeight="1" x14ac:dyDescent="0.35">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spans="1:26" ht="12.75" customHeight="1" x14ac:dyDescent="0.35">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spans="1:26" ht="12.75" customHeight="1" x14ac:dyDescent="0.35">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spans="1:26" ht="12.75" customHeight="1" x14ac:dyDescent="0.35">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spans="1:26" ht="12.75" customHeight="1" x14ac:dyDescent="0.35">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spans="1:26" ht="12.75" customHeight="1" x14ac:dyDescent="0.35">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spans="1:26" ht="12.75" customHeight="1" x14ac:dyDescent="0.35">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spans="1:26" ht="12.75" customHeight="1" x14ac:dyDescent="0.35">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spans="1:26" ht="12.75" customHeight="1" x14ac:dyDescent="0.35">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spans="1:26" ht="12.75" customHeight="1" x14ac:dyDescent="0.35">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spans="1:26" ht="12.75" customHeight="1" x14ac:dyDescent="0.35">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spans="1:26" ht="12.75" customHeight="1" x14ac:dyDescent="0.35">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spans="1:26" ht="12.75" customHeight="1" x14ac:dyDescent="0.35">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spans="1:26" ht="12.75" customHeight="1" x14ac:dyDescent="0.35">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spans="1:26" ht="12.75" customHeight="1" x14ac:dyDescent="0.35">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spans="1:26" ht="12.75" customHeight="1" x14ac:dyDescent="0.35">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spans="1:26" ht="12.75" customHeight="1" x14ac:dyDescent="0.35">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spans="1:26" ht="12.75" customHeight="1" x14ac:dyDescent="0.35">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spans="1:26" ht="12.75" customHeight="1" x14ac:dyDescent="0.35">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spans="1:26" ht="12.75" customHeight="1" x14ac:dyDescent="0.35">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spans="1:26" ht="12.75" customHeight="1" x14ac:dyDescent="0.35">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spans="1:26" ht="12.75" customHeight="1" x14ac:dyDescent="0.35">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spans="1:26" ht="12.75" customHeight="1" x14ac:dyDescent="0.35">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spans="1:26" ht="12.75" customHeight="1" x14ac:dyDescent="0.35">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spans="1:26" ht="12.75" customHeight="1" x14ac:dyDescent="0.35">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spans="1:26" ht="12.75" customHeight="1" x14ac:dyDescent="0.35">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spans="1:26" ht="12.75" customHeight="1" x14ac:dyDescent="0.35">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spans="1:26" ht="12.75" customHeight="1" x14ac:dyDescent="0.35">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spans="1:26" ht="12.75" customHeight="1" x14ac:dyDescent="0.35">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spans="1:26" ht="12.75" customHeight="1" x14ac:dyDescent="0.35">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spans="1:26" ht="12.75" customHeight="1" x14ac:dyDescent="0.35">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spans="1:26" ht="12.75" customHeight="1" x14ac:dyDescent="0.35">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spans="1:26" ht="12.75" customHeight="1" x14ac:dyDescent="0.35">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spans="1:26" ht="12.75" customHeight="1" x14ac:dyDescent="0.35">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spans="1:26" ht="12.75" customHeight="1" x14ac:dyDescent="0.35">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spans="1:26" ht="12.75" customHeight="1" x14ac:dyDescent="0.35">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spans="1:26" ht="12.75" customHeight="1" x14ac:dyDescent="0.35">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spans="1:26" ht="12.75" customHeight="1" x14ac:dyDescent="0.35">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spans="1:26" ht="12.75" customHeight="1" x14ac:dyDescent="0.35">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spans="1:26" ht="12.75" customHeight="1" x14ac:dyDescent="0.35">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spans="1:26" ht="12.75" customHeight="1" x14ac:dyDescent="0.35">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spans="1:26" ht="12.75" customHeight="1" x14ac:dyDescent="0.35">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spans="1:26" ht="12.75" customHeight="1" x14ac:dyDescent="0.35">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spans="1:26" ht="12.75" customHeight="1" x14ac:dyDescent="0.35">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spans="1:26" ht="12.75" customHeight="1" x14ac:dyDescent="0.35">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spans="1:26" ht="12.75" customHeight="1" x14ac:dyDescent="0.35">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spans="1:26" ht="12.75" customHeight="1" x14ac:dyDescent="0.35">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spans="1:26" ht="12.75" customHeight="1" x14ac:dyDescent="0.35">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spans="1:26" ht="12.75" customHeight="1" x14ac:dyDescent="0.35">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spans="1:26" ht="12.75" customHeight="1" x14ac:dyDescent="0.35">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spans="1:26" ht="12.75" customHeight="1" x14ac:dyDescent="0.35">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spans="1:26" ht="12.75" customHeight="1" x14ac:dyDescent="0.35">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spans="1:26" ht="12.75" customHeight="1" x14ac:dyDescent="0.35">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spans="1:26" ht="12.75" customHeight="1" x14ac:dyDescent="0.35">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spans="1:26" ht="12.75" customHeight="1" x14ac:dyDescent="0.35">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spans="1:26" ht="12.75" customHeight="1" x14ac:dyDescent="0.35">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spans="1:26" ht="12.75" customHeight="1" x14ac:dyDescent="0.35">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spans="1:26" ht="12.75" customHeight="1" x14ac:dyDescent="0.35">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spans="1:26" ht="12.75" customHeight="1" x14ac:dyDescent="0.35">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spans="1:26" ht="12.75" customHeight="1" x14ac:dyDescent="0.35">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spans="1:26" ht="12.75" customHeight="1" x14ac:dyDescent="0.35">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spans="1:26" ht="12.75" customHeight="1" x14ac:dyDescent="0.35">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spans="1:26" ht="12.75" customHeight="1" x14ac:dyDescent="0.35">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spans="1:26" ht="12.75" customHeight="1" x14ac:dyDescent="0.35">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spans="1:26" ht="12.75" customHeight="1" x14ac:dyDescent="0.35">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spans="1:26" ht="12.75" customHeight="1" x14ac:dyDescent="0.35">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spans="1:26" ht="12.75" customHeight="1" x14ac:dyDescent="0.35">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spans="1:26" ht="12.75" customHeight="1" x14ac:dyDescent="0.35">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spans="1:26" ht="12.75" customHeight="1" x14ac:dyDescent="0.35">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spans="1:26" ht="12.75" customHeight="1" x14ac:dyDescent="0.35">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spans="1:26" ht="12.75" customHeight="1" x14ac:dyDescent="0.35">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spans="1:26" ht="12.75" customHeight="1" x14ac:dyDescent="0.35">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spans="1:26" ht="12.75" customHeight="1" x14ac:dyDescent="0.35">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spans="1:26" ht="12.75" customHeight="1" x14ac:dyDescent="0.35">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spans="1:26" ht="12.75" customHeight="1" x14ac:dyDescent="0.35">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spans="1:26" ht="12.75" customHeight="1" x14ac:dyDescent="0.35">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spans="1:26" ht="12.75" customHeight="1" x14ac:dyDescent="0.35">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spans="1:26" ht="12.75" customHeight="1" x14ac:dyDescent="0.35">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spans="1:26" ht="12.75" customHeight="1" x14ac:dyDescent="0.35">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spans="1:26" ht="12.75" customHeight="1" x14ac:dyDescent="0.35">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spans="1:26" ht="12.75" customHeight="1" x14ac:dyDescent="0.35">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spans="1:26" ht="12.75" customHeight="1" x14ac:dyDescent="0.35">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spans="1:26" ht="12.75" customHeight="1" x14ac:dyDescent="0.35">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spans="1:26" ht="12.75" customHeight="1" x14ac:dyDescent="0.35">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spans="1:26" ht="12.75" customHeight="1" x14ac:dyDescent="0.35">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spans="1:26" ht="12.75" customHeight="1" x14ac:dyDescent="0.35">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spans="1:26" ht="12.75" customHeight="1" x14ac:dyDescent="0.35">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spans="1:26" ht="12.75" customHeight="1" x14ac:dyDescent="0.35">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spans="1:26" ht="12.75" customHeight="1" x14ac:dyDescent="0.35">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spans="1:26" ht="12.75" customHeight="1" x14ac:dyDescent="0.35">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spans="1:26" ht="12.75" customHeight="1" x14ac:dyDescent="0.35">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spans="1:26" ht="12.75" customHeight="1" x14ac:dyDescent="0.35">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spans="1:26" ht="12.75" customHeight="1" x14ac:dyDescent="0.35">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spans="1:26" ht="12.75" customHeight="1" x14ac:dyDescent="0.35">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spans="1:26" ht="12.75" customHeight="1" x14ac:dyDescent="0.35">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spans="1:26" ht="12.75" customHeight="1" x14ac:dyDescent="0.35">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spans="1:26" ht="12.75" customHeight="1" x14ac:dyDescent="0.35">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spans="1:26" ht="12.75" customHeight="1" x14ac:dyDescent="0.35">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spans="1:26" ht="12.75" customHeight="1" x14ac:dyDescent="0.35">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spans="1:26" ht="12.75" customHeight="1" x14ac:dyDescent="0.35">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spans="1:26" ht="12.75" customHeight="1" x14ac:dyDescent="0.35">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spans="1:26" ht="12.75" customHeight="1" x14ac:dyDescent="0.35">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spans="1:26" ht="12.75" customHeight="1" x14ac:dyDescent="0.35">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spans="1:26" ht="12.75" customHeight="1" x14ac:dyDescent="0.35">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spans="1:26" ht="12.75" customHeight="1" x14ac:dyDescent="0.35">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spans="1:26" ht="12.75" customHeight="1" x14ac:dyDescent="0.35">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spans="1:26" ht="12.75" customHeight="1" x14ac:dyDescent="0.35">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spans="1:26" ht="12.75" customHeight="1" x14ac:dyDescent="0.35">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spans="1:26" ht="12.75" customHeight="1" x14ac:dyDescent="0.35">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spans="1:26" ht="12.75" customHeight="1" x14ac:dyDescent="0.35">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spans="1:26" ht="12.75" customHeight="1" x14ac:dyDescent="0.35">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spans="1:26" ht="12.75" customHeight="1" x14ac:dyDescent="0.35">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spans="1:26" ht="12.75" customHeight="1" x14ac:dyDescent="0.35">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spans="1:26" ht="12.75" customHeight="1" x14ac:dyDescent="0.35">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spans="1:26" ht="12.75" customHeight="1" x14ac:dyDescent="0.35">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spans="1:26" ht="12.75" customHeight="1" x14ac:dyDescent="0.35">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spans="1:26" ht="12.75" customHeight="1" x14ac:dyDescent="0.35">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spans="1:26" ht="12.75" customHeight="1" x14ac:dyDescent="0.35">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spans="1:26" ht="12.75" customHeight="1" x14ac:dyDescent="0.35">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spans="1:26" ht="12.75" customHeight="1" x14ac:dyDescent="0.35">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spans="1:26" ht="12.75" customHeight="1" x14ac:dyDescent="0.35">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spans="1:26" ht="12.75" customHeight="1" x14ac:dyDescent="0.35">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spans="1:26" ht="12.75" customHeight="1" x14ac:dyDescent="0.35">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spans="1:26" ht="12.75" customHeight="1" x14ac:dyDescent="0.35">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spans="1:26" ht="12.75" customHeight="1" x14ac:dyDescent="0.35">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spans="1:26" ht="12.75" customHeight="1" x14ac:dyDescent="0.35">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spans="1:26" ht="12.75" customHeight="1" x14ac:dyDescent="0.35">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spans="1:26" ht="12.75" customHeight="1" x14ac:dyDescent="0.35">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spans="1:26" ht="12.75" customHeight="1" x14ac:dyDescent="0.35">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spans="1:26" ht="12.75" customHeight="1" x14ac:dyDescent="0.35">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spans="1:26" ht="12.75" customHeight="1" x14ac:dyDescent="0.35">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spans="1:26" ht="12.75" customHeight="1" x14ac:dyDescent="0.35">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spans="1:26" ht="12.75" customHeight="1" x14ac:dyDescent="0.35">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spans="1:26" ht="12.75" customHeight="1" x14ac:dyDescent="0.35">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spans="1:26" ht="12.75" customHeight="1" x14ac:dyDescent="0.35">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spans="1:26" ht="12.75" customHeight="1" x14ac:dyDescent="0.35">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spans="1:26" ht="12.75" customHeight="1" x14ac:dyDescent="0.35">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spans="1:26" ht="12.75" customHeight="1" x14ac:dyDescent="0.35">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spans="1:26" ht="12.75" customHeight="1" x14ac:dyDescent="0.35">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spans="1:26" ht="12.75" customHeight="1" x14ac:dyDescent="0.35">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spans="1:26" ht="12.75" customHeight="1" x14ac:dyDescent="0.35">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spans="1:26" ht="12.75" customHeight="1" x14ac:dyDescent="0.35">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spans="1:26" ht="12.75" customHeight="1" x14ac:dyDescent="0.35">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spans="1:26" ht="12.75" customHeight="1" x14ac:dyDescent="0.35">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spans="1:26" ht="12.75" customHeight="1" x14ac:dyDescent="0.35">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spans="1:26" ht="12.75" customHeight="1" x14ac:dyDescent="0.35">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spans="1:26" ht="12.75" customHeight="1" x14ac:dyDescent="0.35">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spans="1:26" ht="12.75" customHeight="1" x14ac:dyDescent="0.35">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spans="1:26" ht="12.75" customHeight="1" x14ac:dyDescent="0.35">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spans="1:26" ht="12.75" customHeight="1" x14ac:dyDescent="0.35">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spans="1:26" ht="12.75" customHeight="1" x14ac:dyDescent="0.35">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spans="1:26" ht="12.75" customHeight="1" x14ac:dyDescent="0.35">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spans="1:26" ht="12.75" customHeight="1" x14ac:dyDescent="0.35">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spans="1:26" ht="12.75" customHeight="1" x14ac:dyDescent="0.35">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spans="1:26" ht="12.75" customHeight="1" x14ac:dyDescent="0.35">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spans="1:26" ht="12.75" customHeight="1" x14ac:dyDescent="0.35">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spans="1:26" ht="12.75" customHeight="1" x14ac:dyDescent="0.35">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spans="1:26" ht="12.75" customHeight="1" x14ac:dyDescent="0.35">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spans="1:26" ht="12.75" customHeight="1" x14ac:dyDescent="0.35">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spans="1:26" ht="12.75" customHeight="1" x14ac:dyDescent="0.35">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spans="1:26" ht="12.75" customHeight="1" x14ac:dyDescent="0.35">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spans="1:26" ht="12.75" customHeight="1" x14ac:dyDescent="0.35">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spans="1:26" ht="12.75" customHeight="1" x14ac:dyDescent="0.35">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spans="1:26" ht="12.75" customHeight="1" x14ac:dyDescent="0.35">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spans="1:26" ht="12.75" customHeight="1" x14ac:dyDescent="0.35">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spans="1:26" ht="12.75" customHeight="1" x14ac:dyDescent="0.35">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spans="1:26" ht="12.75" customHeight="1" x14ac:dyDescent="0.35">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spans="1:26" ht="12.75" customHeight="1" x14ac:dyDescent="0.35">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spans="1:26" ht="12.75" customHeight="1" x14ac:dyDescent="0.35">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spans="1:26" ht="12.75" customHeight="1" x14ac:dyDescent="0.35">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spans="1:26" ht="12.75" customHeight="1" x14ac:dyDescent="0.35">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spans="1:26" ht="12.75" customHeight="1" x14ac:dyDescent="0.35">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spans="1:26" ht="12.75" customHeight="1" x14ac:dyDescent="0.35">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spans="1:26" ht="12.75" customHeight="1" x14ac:dyDescent="0.35">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spans="1:26" ht="12.75" customHeight="1" x14ac:dyDescent="0.35">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spans="1:26" ht="12.75" customHeight="1" x14ac:dyDescent="0.35">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spans="1:26" ht="12.75" customHeight="1" x14ac:dyDescent="0.35">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spans="1:26" ht="12.75" customHeight="1" x14ac:dyDescent="0.35">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spans="1:26" ht="12.75" customHeight="1" x14ac:dyDescent="0.35">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spans="1:26" ht="12.75" customHeight="1" x14ac:dyDescent="0.35">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spans="1:26" ht="12.75" customHeight="1" x14ac:dyDescent="0.35">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spans="1:26" ht="12.75" customHeight="1" x14ac:dyDescent="0.35">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spans="1:26" ht="12.75" customHeight="1" x14ac:dyDescent="0.35">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spans="1:26" ht="12.75" customHeight="1" x14ac:dyDescent="0.35">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spans="1:26" ht="12.75" customHeight="1" x14ac:dyDescent="0.35">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spans="1:26" ht="12.75" customHeight="1" x14ac:dyDescent="0.35">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spans="1:26" ht="12.75" customHeight="1" x14ac:dyDescent="0.35">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spans="1:26" ht="12.75" customHeight="1" x14ac:dyDescent="0.35">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spans="1:26" ht="12.75" customHeight="1" x14ac:dyDescent="0.35">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spans="1:26" ht="12.75" customHeight="1" x14ac:dyDescent="0.35">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spans="1:26" ht="12.75" customHeight="1" x14ac:dyDescent="0.35">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spans="1:26" ht="12.75" customHeight="1" x14ac:dyDescent="0.35">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spans="1:26" ht="12.75" customHeight="1" x14ac:dyDescent="0.35">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spans="1:26" ht="12.75" customHeight="1" x14ac:dyDescent="0.35">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spans="1:26" ht="12.75" customHeight="1" x14ac:dyDescent="0.35">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spans="1:26" ht="12.75" customHeight="1" x14ac:dyDescent="0.35">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spans="1:26" ht="12.75" customHeight="1" x14ac:dyDescent="0.35">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spans="1:26" ht="12.75" customHeight="1" x14ac:dyDescent="0.35">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spans="1:26" ht="12.75" customHeight="1" x14ac:dyDescent="0.35">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spans="1:26" ht="12.75" customHeight="1" x14ac:dyDescent="0.35">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spans="1:26" ht="12.75" customHeight="1" x14ac:dyDescent="0.35">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spans="1:26" ht="12.75" customHeight="1" x14ac:dyDescent="0.35">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spans="1:26" ht="12.75" customHeight="1" x14ac:dyDescent="0.35">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spans="1:26" ht="12.75" customHeight="1" x14ac:dyDescent="0.35">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spans="1:26" ht="12.75" customHeight="1" x14ac:dyDescent="0.35">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spans="1:26" ht="12.75" customHeight="1" x14ac:dyDescent="0.35">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spans="1:26" ht="12.75" customHeight="1" x14ac:dyDescent="0.35">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spans="1:26" ht="12.75" customHeight="1" x14ac:dyDescent="0.35">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spans="1:26" ht="12.75" customHeight="1" x14ac:dyDescent="0.35">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spans="1:26" ht="12.75" customHeight="1" x14ac:dyDescent="0.35">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spans="1:26" ht="12.75" customHeight="1" x14ac:dyDescent="0.35">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spans="1:26" ht="12.75" customHeight="1" x14ac:dyDescent="0.35">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spans="1:26" ht="12.75" customHeight="1" x14ac:dyDescent="0.35">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spans="1:26" ht="12.75" customHeight="1" x14ac:dyDescent="0.35">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spans="1:26" ht="12.75" customHeight="1" x14ac:dyDescent="0.35">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spans="1:26" ht="12.75" customHeight="1" x14ac:dyDescent="0.35">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spans="1:26" ht="12.75" customHeight="1" x14ac:dyDescent="0.35">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spans="1:26" ht="12.75" customHeight="1" x14ac:dyDescent="0.35">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spans="1:26" ht="12.75" customHeight="1" x14ac:dyDescent="0.35">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spans="1:26" ht="12.75" customHeight="1" x14ac:dyDescent="0.35">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spans="1:26" ht="12.75" customHeight="1" x14ac:dyDescent="0.35">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spans="1:26" ht="12.75" customHeight="1" x14ac:dyDescent="0.35">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spans="1:26" ht="12.75" customHeight="1" x14ac:dyDescent="0.35">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spans="1:26" ht="12.75" customHeight="1" x14ac:dyDescent="0.35">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spans="1:26" ht="12.75" customHeight="1" x14ac:dyDescent="0.35">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spans="1:26" ht="12.75" customHeight="1" x14ac:dyDescent="0.35">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spans="1:26" ht="12.75" customHeight="1" x14ac:dyDescent="0.35">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spans="1:26" ht="12.75" customHeight="1" x14ac:dyDescent="0.35">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spans="1:26" ht="12.75" customHeight="1" x14ac:dyDescent="0.35">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spans="1:26" ht="12.75" customHeight="1" x14ac:dyDescent="0.35">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spans="1:26" ht="12.75" customHeight="1" x14ac:dyDescent="0.35">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spans="1:26" ht="12.75" customHeight="1" x14ac:dyDescent="0.35">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spans="1:26" ht="12.75" customHeight="1" x14ac:dyDescent="0.35">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spans="1:26" ht="12.75" customHeight="1" x14ac:dyDescent="0.35">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spans="1:26" ht="12.75" customHeight="1" x14ac:dyDescent="0.35">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spans="1:26" ht="12.75" customHeight="1" x14ac:dyDescent="0.35">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spans="1:26" ht="12.75" customHeight="1" x14ac:dyDescent="0.35">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spans="1:26" ht="12.75" customHeight="1" x14ac:dyDescent="0.35">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spans="1:26" ht="12.75" customHeight="1" x14ac:dyDescent="0.35">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spans="1:26" ht="12.75" customHeight="1" x14ac:dyDescent="0.35">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spans="1:26" ht="12.75" customHeight="1" x14ac:dyDescent="0.35">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spans="1:26" ht="12.75" customHeight="1" x14ac:dyDescent="0.35">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spans="1:26" ht="12.75" customHeight="1" x14ac:dyDescent="0.35">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spans="1:26" ht="12.75" customHeight="1" x14ac:dyDescent="0.35">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spans="1:26" ht="12.75" customHeight="1" x14ac:dyDescent="0.35">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spans="1:26" ht="12.75" customHeight="1" x14ac:dyDescent="0.35">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spans="1:26" ht="12.75" customHeight="1" x14ac:dyDescent="0.35">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spans="1:26" ht="12.75" customHeight="1" x14ac:dyDescent="0.35">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spans="1:26" ht="12.75" customHeight="1" x14ac:dyDescent="0.35">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spans="1:26" ht="12.75" customHeight="1" x14ac:dyDescent="0.35">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spans="1:26" ht="12.75" customHeight="1" x14ac:dyDescent="0.35">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spans="1:26" ht="12.75" customHeight="1" x14ac:dyDescent="0.35">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spans="1:26" ht="12.75" customHeight="1" x14ac:dyDescent="0.35">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spans="1:26" ht="12.75" customHeight="1" x14ac:dyDescent="0.35">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spans="1:26" ht="12.75" customHeight="1" x14ac:dyDescent="0.35">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spans="1:26" ht="12.75" customHeight="1" x14ac:dyDescent="0.35">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spans="1:26" ht="12.75" customHeight="1" x14ac:dyDescent="0.35">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spans="1:26" ht="12.75" customHeight="1" x14ac:dyDescent="0.35">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spans="1:26" ht="12.75" customHeight="1" x14ac:dyDescent="0.35">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spans="1:26" ht="12.75" customHeight="1" x14ac:dyDescent="0.35">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spans="1:26" ht="12.75" customHeight="1" x14ac:dyDescent="0.35">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spans="1:26" ht="12.75" customHeight="1" x14ac:dyDescent="0.35">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spans="1:26" ht="12.75" customHeight="1" x14ac:dyDescent="0.35">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spans="1:26" ht="12.75" customHeight="1" x14ac:dyDescent="0.35">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spans="1:26" ht="12.75" customHeight="1" x14ac:dyDescent="0.35">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spans="1:26" ht="12.75" customHeight="1" x14ac:dyDescent="0.35">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spans="1:26" ht="12.75" customHeight="1" x14ac:dyDescent="0.35">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spans="1:26" ht="12.75" customHeight="1" x14ac:dyDescent="0.35">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spans="1:26" ht="12.75" customHeight="1" x14ac:dyDescent="0.35">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spans="1:26" ht="12.75" customHeight="1" x14ac:dyDescent="0.35">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spans="1:26" ht="12.75" customHeight="1" x14ac:dyDescent="0.35">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spans="1:26" ht="12.75" customHeight="1" x14ac:dyDescent="0.35">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spans="1:26" ht="12.75" customHeight="1" x14ac:dyDescent="0.35">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spans="1:26" ht="12.75" customHeight="1" x14ac:dyDescent="0.35">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spans="1:26" ht="12.75" customHeight="1" x14ac:dyDescent="0.35">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spans="1:26" ht="12.75" customHeight="1" x14ac:dyDescent="0.35">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spans="1:26" ht="12.75" customHeight="1" x14ac:dyDescent="0.35">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spans="1:26" ht="12.75" customHeight="1" x14ac:dyDescent="0.35">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spans="1:26" ht="12.75" customHeight="1" x14ac:dyDescent="0.35">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spans="1:26" ht="12.75" customHeight="1" x14ac:dyDescent="0.35">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spans="1:26" ht="12.75" customHeight="1" x14ac:dyDescent="0.35">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spans="1:26" ht="12.75" customHeight="1" x14ac:dyDescent="0.35">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spans="1:26" ht="12.75" customHeight="1" x14ac:dyDescent="0.35">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spans="1:26" ht="12.75" customHeight="1" x14ac:dyDescent="0.35">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spans="1:26" ht="12.75" customHeight="1" x14ac:dyDescent="0.35">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spans="1:26" ht="12.75" customHeight="1" x14ac:dyDescent="0.35">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spans="1:26" ht="12.75" customHeight="1" x14ac:dyDescent="0.35">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spans="1:26" ht="12.75" customHeight="1" x14ac:dyDescent="0.35">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spans="1:26" ht="12.75" customHeight="1" x14ac:dyDescent="0.35">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spans="1:26" ht="12.75" customHeight="1" x14ac:dyDescent="0.35">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spans="1:26" ht="12.75" customHeight="1" x14ac:dyDescent="0.35">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spans="1:26" ht="12.75" customHeight="1" x14ac:dyDescent="0.35">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spans="1:26" ht="12.75" customHeight="1" x14ac:dyDescent="0.35">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spans="1:26" ht="12.75" customHeight="1" x14ac:dyDescent="0.35">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spans="1:26" ht="12.75" customHeight="1" x14ac:dyDescent="0.35">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spans="1:26" ht="12.75" customHeight="1" x14ac:dyDescent="0.35">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spans="1:26" ht="12.75" customHeight="1" x14ac:dyDescent="0.35">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spans="1:26" ht="12.75" customHeight="1" x14ac:dyDescent="0.35">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spans="1:26" ht="12.75" customHeight="1" x14ac:dyDescent="0.35">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spans="1:26" ht="12.75" customHeight="1" x14ac:dyDescent="0.35">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spans="1:26" ht="12.75" customHeight="1" x14ac:dyDescent="0.35">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spans="1:26" ht="12.75" customHeight="1" x14ac:dyDescent="0.35">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spans="1:26" ht="12.75" customHeight="1" x14ac:dyDescent="0.35">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spans="1:26" ht="12.75" customHeight="1" x14ac:dyDescent="0.35">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spans="1:26" ht="12.75" customHeight="1" x14ac:dyDescent="0.35">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spans="1:26" ht="12.75" customHeight="1" x14ac:dyDescent="0.35">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spans="1:26" ht="12.75" customHeight="1" x14ac:dyDescent="0.35">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spans="1:26" ht="12.75" customHeight="1" x14ac:dyDescent="0.35">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spans="1:26" ht="12.75" customHeight="1" x14ac:dyDescent="0.35">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spans="1:26" ht="12.75" customHeight="1" x14ac:dyDescent="0.35">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spans="1:26" ht="12.75" customHeight="1" x14ac:dyDescent="0.35">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spans="1:26" ht="12.75" customHeight="1" x14ac:dyDescent="0.35">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spans="1:26" ht="12.75" customHeight="1" x14ac:dyDescent="0.35">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spans="1:26" ht="12.75" customHeight="1" x14ac:dyDescent="0.35">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spans="1:26" ht="12.75" customHeight="1" x14ac:dyDescent="0.35">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spans="1:26" ht="12.75" customHeight="1" x14ac:dyDescent="0.35">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spans="1:26" ht="12.75" customHeight="1" x14ac:dyDescent="0.35">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spans="1:26" ht="12.75" customHeight="1" x14ac:dyDescent="0.35">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spans="1:26" ht="12.75" customHeight="1" x14ac:dyDescent="0.35">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spans="1:26" ht="12.75" customHeight="1" x14ac:dyDescent="0.35">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spans="1:26" ht="12.75" customHeight="1" x14ac:dyDescent="0.35">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spans="1:26" ht="12.75" customHeight="1" x14ac:dyDescent="0.35">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spans="1:26" ht="12.75" customHeight="1" x14ac:dyDescent="0.35">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spans="1:26" ht="12.75" customHeight="1" x14ac:dyDescent="0.35">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spans="1:26" ht="12.75" customHeight="1" x14ac:dyDescent="0.35">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spans="1:26" ht="12.75" customHeight="1" x14ac:dyDescent="0.35">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spans="1:26" ht="12.75" customHeight="1" x14ac:dyDescent="0.35">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spans="1:26" ht="12.75" customHeight="1" x14ac:dyDescent="0.35">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spans="1:26" ht="12.75" customHeight="1" x14ac:dyDescent="0.35">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spans="1:26" ht="12.75" customHeight="1" x14ac:dyDescent="0.35">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spans="1:26" ht="12.75" customHeight="1" x14ac:dyDescent="0.35">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spans="1:26" ht="12.75" customHeight="1" x14ac:dyDescent="0.35">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spans="1:26" ht="12.75" customHeight="1" x14ac:dyDescent="0.35">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spans="1:26" ht="12.75" customHeight="1" x14ac:dyDescent="0.35">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spans="1:26" ht="12.75" customHeight="1" x14ac:dyDescent="0.35">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spans="1:26" ht="12.75" customHeight="1" x14ac:dyDescent="0.35">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spans="1:26" ht="12.75" customHeight="1" x14ac:dyDescent="0.35">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spans="1:26" ht="12.75" customHeight="1" x14ac:dyDescent="0.35">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spans="1:26" ht="12.75" customHeight="1" x14ac:dyDescent="0.35">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spans="1:26" ht="12.75" customHeight="1" x14ac:dyDescent="0.35">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spans="1:26" ht="12.75" customHeight="1" x14ac:dyDescent="0.35">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spans="1:26" ht="12.75" customHeight="1" x14ac:dyDescent="0.35">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spans="1:26" ht="12.75" customHeight="1" x14ac:dyDescent="0.35">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spans="1:26" ht="12.75" customHeight="1" x14ac:dyDescent="0.35">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spans="1:26" ht="12.75" customHeight="1" x14ac:dyDescent="0.35">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spans="1:26" ht="12.75" customHeight="1" x14ac:dyDescent="0.35">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spans="1:26" ht="12.75" customHeight="1" x14ac:dyDescent="0.35">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spans="1:26" ht="12.75" customHeight="1" x14ac:dyDescent="0.35">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spans="1:26" ht="12.75" customHeight="1" x14ac:dyDescent="0.35">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spans="1:26" ht="12.75" customHeight="1" x14ac:dyDescent="0.35">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spans="1:26" ht="12.75" customHeight="1" x14ac:dyDescent="0.35">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spans="1:26" ht="12.75" customHeight="1" x14ac:dyDescent="0.35">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spans="1:26" ht="12.75" customHeight="1" x14ac:dyDescent="0.35">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spans="1:26" ht="12.75" customHeight="1" x14ac:dyDescent="0.35">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spans="1:26" ht="12.75" customHeight="1" x14ac:dyDescent="0.35">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spans="1:26" ht="12.75" customHeight="1" x14ac:dyDescent="0.35">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spans="1:26" ht="12.75" customHeight="1" x14ac:dyDescent="0.35">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spans="1:26" ht="12.75" customHeight="1" x14ac:dyDescent="0.35">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spans="1:26" ht="12.75" customHeight="1" x14ac:dyDescent="0.35">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spans="1:26" ht="12.75" customHeight="1" x14ac:dyDescent="0.35">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spans="1:26" ht="12.75" customHeight="1" x14ac:dyDescent="0.35">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spans="1:26" ht="12.75" customHeight="1" x14ac:dyDescent="0.35">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spans="1:26" ht="12.75" customHeight="1" x14ac:dyDescent="0.35">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spans="1:26" ht="12.75" customHeight="1" x14ac:dyDescent="0.35">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spans="1:26" ht="12.75" customHeight="1" x14ac:dyDescent="0.35">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spans="1:26" ht="12.75" customHeight="1" x14ac:dyDescent="0.35">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spans="1:26" ht="12.75" customHeight="1" x14ac:dyDescent="0.35">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spans="1:26" ht="12.75" customHeight="1" x14ac:dyDescent="0.35">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spans="1:26" ht="12.75" customHeight="1" x14ac:dyDescent="0.35">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spans="1:26" ht="12.75" customHeight="1" x14ac:dyDescent="0.35">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spans="1:26" ht="12.75" customHeight="1" x14ac:dyDescent="0.35">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spans="1:26" ht="12.75" customHeight="1" x14ac:dyDescent="0.35">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spans="1:26" ht="12.75" customHeight="1" x14ac:dyDescent="0.35">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spans="1:26" ht="12.75" customHeight="1" x14ac:dyDescent="0.35">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spans="1:26" ht="12.75" customHeight="1" x14ac:dyDescent="0.35">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spans="1:26" ht="12.75" customHeight="1" x14ac:dyDescent="0.35">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spans="1:26" ht="12.75" customHeight="1" x14ac:dyDescent="0.35">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spans="1:26" ht="12.75" customHeight="1" x14ac:dyDescent="0.35">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spans="1:26" ht="12.75" customHeight="1" x14ac:dyDescent="0.35">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spans="1:26" ht="12.75" customHeight="1" x14ac:dyDescent="0.35">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spans="1:26" ht="12.75" customHeight="1" x14ac:dyDescent="0.35">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spans="1:26" ht="12.75" customHeight="1" x14ac:dyDescent="0.35">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spans="1:26" ht="12.75" customHeight="1" x14ac:dyDescent="0.35">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spans="1:26" ht="12.75" customHeight="1" x14ac:dyDescent="0.35">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spans="1:26" ht="12.75" customHeight="1" x14ac:dyDescent="0.35">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spans="1:26" ht="12.75" customHeight="1" x14ac:dyDescent="0.35">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spans="1:26" ht="12.75" customHeight="1" x14ac:dyDescent="0.35">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spans="1:26" ht="12.75" customHeight="1" x14ac:dyDescent="0.35">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spans="1:26" ht="12.75" customHeight="1" x14ac:dyDescent="0.35">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spans="1:26" ht="12.75" customHeight="1" x14ac:dyDescent="0.35">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spans="1:26" ht="12.75" customHeight="1" x14ac:dyDescent="0.35">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spans="1:26" ht="12.75" customHeight="1" x14ac:dyDescent="0.35">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spans="1:26" ht="12.75" customHeight="1" x14ac:dyDescent="0.35">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spans="1:26" ht="12.75" customHeight="1" x14ac:dyDescent="0.35">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spans="1:26" ht="12.75" customHeight="1" x14ac:dyDescent="0.35">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spans="1:26" ht="12.75" customHeight="1" x14ac:dyDescent="0.35">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spans="1:26" ht="12.75" customHeight="1" x14ac:dyDescent="0.35">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spans="1:26" ht="12.75" customHeight="1" x14ac:dyDescent="0.35">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spans="1:26" ht="12.75" customHeight="1" x14ac:dyDescent="0.35">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spans="1:26" ht="12.75" customHeight="1" x14ac:dyDescent="0.35">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spans="1:26" ht="12.75" customHeight="1" x14ac:dyDescent="0.35">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spans="1:26" ht="12.75" customHeight="1" x14ac:dyDescent="0.35">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spans="1:26" ht="12.75" customHeight="1" x14ac:dyDescent="0.35">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spans="1:26" ht="12.75" customHeight="1" x14ac:dyDescent="0.35">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spans="1:26" ht="12.75" customHeight="1" x14ac:dyDescent="0.35">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spans="1:26" ht="12.75" customHeight="1" x14ac:dyDescent="0.35">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spans="1:26" ht="12.75" customHeight="1" x14ac:dyDescent="0.35">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spans="1:26" ht="12.75" customHeight="1" x14ac:dyDescent="0.35">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spans="1:26" ht="12.75" customHeight="1" x14ac:dyDescent="0.35">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spans="1:26" ht="12.75" customHeight="1" x14ac:dyDescent="0.35">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spans="1:26" ht="12.75" customHeight="1" x14ac:dyDescent="0.35">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spans="1:26" ht="12.75" customHeight="1" x14ac:dyDescent="0.35">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spans="1:26" ht="12.75" customHeight="1" x14ac:dyDescent="0.35">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spans="1:26" ht="12.75" customHeight="1" x14ac:dyDescent="0.35">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spans="1:26" ht="12.75" customHeight="1" x14ac:dyDescent="0.35">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spans="1:26" ht="12.75" customHeight="1" x14ac:dyDescent="0.35">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spans="1:26" ht="12.75" customHeight="1" x14ac:dyDescent="0.35">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spans="1:26" ht="12.75" customHeight="1" x14ac:dyDescent="0.35">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spans="1:26" ht="12.75" customHeight="1" x14ac:dyDescent="0.35">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spans="1:26" ht="12.75" customHeight="1" x14ac:dyDescent="0.35">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spans="1:26" ht="12.75" customHeight="1" x14ac:dyDescent="0.35">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spans="1:26" ht="12.75" customHeight="1" x14ac:dyDescent="0.35">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spans="1:26" ht="12.75" customHeight="1" x14ac:dyDescent="0.35">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spans="1:26" ht="12.75" customHeight="1" x14ac:dyDescent="0.35">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spans="1:26" ht="12.75" customHeight="1" x14ac:dyDescent="0.35">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spans="1:26" ht="12.75" customHeight="1" x14ac:dyDescent="0.35">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spans="1:26" ht="12.75" customHeight="1" x14ac:dyDescent="0.35">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spans="1:26" ht="12.75" customHeight="1" x14ac:dyDescent="0.35">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spans="1:26" ht="12.75" customHeight="1" x14ac:dyDescent="0.35">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spans="1:26" ht="12.75" customHeight="1" x14ac:dyDescent="0.35">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spans="1:26" ht="12.75" customHeight="1" x14ac:dyDescent="0.35">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spans="1:26" ht="12.75" customHeight="1" x14ac:dyDescent="0.35">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spans="1:26" ht="12.75" customHeight="1" x14ac:dyDescent="0.35">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spans="1:26" ht="12.75" customHeight="1" x14ac:dyDescent="0.35">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spans="1:26" ht="12.75" customHeight="1" x14ac:dyDescent="0.35">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spans="1:26" ht="12.75" customHeight="1" x14ac:dyDescent="0.35">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spans="1:26" ht="12.75" customHeight="1" x14ac:dyDescent="0.35">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spans="1:26" ht="12.75" customHeight="1" x14ac:dyDescent="0.35">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spans="1:26" ht="12.75" customHeight="1" x14ac:dyDescent="0.35">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spans="1:26" ht="12.75" customHeight="1" x14ac:dyDescent="0.35">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spans="1:26" ht="12.75" customHeight="1" x14ac:dyDescent="0.35">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spans="1:26" ht="12.75" customHeight="1" x14ac:dyDescent="0.35">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spans="1:26" ht="12.75" customHeight="1" x14ac:dyDescent="0.35">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spans="1:26" ht="12.75" customHeight="1" x14ac:dyDescent="0.35">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spans="1:26" ht="12.75" customHeight="1" x14ac:dyDescent="0.35">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spans="1:26" ht="12.75" customHeight="1" x14ac:dyDescent="0.35">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spans="1:26" ht="12.75" customHeight="1" x14ac:dyDescent="0.35">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spans="1:26" ht="12.75" customHeight="1" x14ac:dyDescent="0.35">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spans="1:26" ht="12.75" customHeight="1" x14ac:dyDescent="0.35">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spans="1:26" ht="12.75" customHeight="1" x14ac:dyDescent="0.35">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spans="1:26" ht="12.75" customHeight="1" x14ac:dyDescent="0.35">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spans="1:26" ht="12.75" customHeight="1" x14ac:dyDescent="0.35">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spans="1:26" ht="12.75" customHeight="1" x14ac:dyDescent="0.35">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spans="1:26" ht="12.75" customHeight="1" x14ac:dyDescent="0.35">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spans="1:26" ht="12.75" customHeight="1" x14ac:dyDescent="0.35">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spans="1:26" ht="12.75" customHeight="1" x14ac:dyDescent="0.35">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spans="1:26" ht="12.75" customHeight="1" x14ac:dyDescent="0.35">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spans="1:26" ht="12.75" customHeight="1" x14ac:dyDescent="0.35">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spans="1:26" ht="12.75" customHeight="1" x14ac:dyDescent="0.35">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spans="1:26" ht="12.75" customHeight="1" x14ac:dyDescent="0.35">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spans="1:26" ht="12.75" customHeight="1" x14ac:dyDescent="0.35">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spans="1:26" ht="12.75" customHeight="1" x14ac:dyDescent="0.35">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spans="1:26" ht="12.75" customHeight="1" x14ac:dyDescent="0.35">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spans="1:26" ht="12.75" customHeight="1" x14ac:dyDescent="0.35">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spans="1:26" ht="12.75" customHeight="1" x14ac:dyDescent="0.35">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spans="1:26" ht="12.75" customHeight="1" x14ac:dyDescent="0.35">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spans="1:26" ht="12.75" customHeight="1" x14ac:dyDescent="0.35">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spans="1:26" ht="12.75" customHeight="1" x14ac:dyDescent="0.35">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spans="1:26" ht="12.75" customHeight="1" x14ac:dyDescent="0.35">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spans="1:26" ht="12.75" customHeight="1" x14ac:dyDescent="0.35">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spans="1:26" ht="12.75" customHeight="1" x14ac:dyDescent="0.35">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spans="1:26" ht="12.75" customHeight="1" x14ac:dyDescent="0.35">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spans="1:26" ht="12.75" customHeight="1" x14ac:dyDescent="0.35">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spans="1:26" ht="12.75" customHeight="1" x14ac:dyDescent="0.35">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spans="1:26" ht="12.75" customHeight="1" x14ac:dyDescent="0.35">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spans="1:26" ht="12.75" customHeight="1" x14ac:dyDescent="0.35">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spans="1:26" ht="12.75" customHeight="1" x14ac:dyDescent="0.35">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spans="1:26" ht="12.75" customHeight="1" x14ac:dyDescent="0.35">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spans="1:26" ht="12.75" customHeight="1" x14ac:dyDescent="0.35">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spans="1:26" ht="12.75" customHeight="1" x14ac:dyDescent="0.35">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spans="1:26" ht="12.75" customHeight="1" x14ac:dyDescent="0.35">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spans="1:26" ht="12.75" customHeight="1" x14ac:dyDescent="0.35">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spans="1:26" ht="12.75" customHeight="1" x14ac:dyDescent="0.35">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spans="1:26" ht="12.75" customHeight="1" x14ac:dyDescent="0.35">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spans="1:26" ht="12.75" customHeight="1" x14ac:dyDescent="0.35">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spans="1:26" ht="12.75" customHeight="1" x14ac:dyDescent="0.35">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spans="1:26" ht="12.75" customHeight="1" x14ac:dyDescent="0.35">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spans="1:26" ht="12.75" customHeight="1" x14ac:dyDescent="0.35">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spans="1:26" ht="12.75" customHeight="1" x14ac:dyDescent="0.35">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spans="1:26" ht="12.75" customHeight="1" x14ac:dyDescent="0.35">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spans="1:26" ht="12.75" customHeight="1" x14ac:dyDescent="0.35">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spans="1:26" ht="12.75" customHeight="1" x14ac:dyDescent="0.35">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spans="1:26" ht="12.75" customHeight="1" x14ac:dyDescent="0.35">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spans="1:26" ht="12.75" customHeight="1" x14ac:dyDescent="0.35">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spans="1:26" ht="12.75" customHeight="1" x14ac:dyDescent="0.35">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spans="1:26" ht="12.75" customHeight="1" x14ac:dyDescent="0.35">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spans="1:26" ht="12.75" customHeight="1" x14ac:dyDescent="0.35">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spans="1:26" ht="12.75" customHeight="1" x14ac:dyDescent="0.35">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spans="1:26" ht="12.75" customHeight="1" x14ac:dyDescent="0.35">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spans="1:26" ht="12.75" customHeight="1" x14ac:dyDescent="0.35">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spans="1:26" ht="12.75" customHeight="1" x14ac:dyDescent="0.35">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spans="1:26" ht="12.75" customHeight="1" x14ac:dyDescent="0.35">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spans="1:26" ht="12.75" customHeight="1" x14ac:dyDescent="0.35">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spans="1:26" ht="12.75" customHeight="1" x14ac:dyDescent="0.35">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spans="1:26" ht="12.75" customHeight="1" x14ac:dyDescent="0.35">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spans="1:26" ht="12.75" customHeight="1" x14ac:dyDescent="0.35">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spans="1:26" ht="12.75" customHeight="1" x14ac:dyDescent="0.35">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spans="1:26" ht="12.75" customHeight="1" x14ac:dyDescent="0.35">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spans="1:26" ht="12.75" customHeight="1" x14ac:dyDescent="0.35">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spans="1:26" ht="12.75" customHeight="1" x14ac:dyDescent="0.35">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spans="1:26" ht="12.75" customHeight="1" x14ac:dyDescent="0.35">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spans="1:26" ht="12.75" customHeight="1" x14ac:dyDescent="0.35">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spans="1:26" ht="12.75" customHeight="1" x14ac:dyDescent="0.35">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spans="1:26" ht="12.75" customHeight="1" x14ac:dyDescent="0.35">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spans="1:26" ht="12.75" customHeight="1" x14ac:dyDescent="0.35">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spans="1:26" ht="12.75" customHeight="1" x14ac:dyDescent="0.35">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spans="1:26" ht="12.75" customHeight="1" x14ac:dyDescent="0.35">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spans="1:26" ht="12.75" customHeight="1" x14ac:dyDescent="0.35">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spans="1:26" ht="12.75" customHeight="1" x14ac:dyDescent="0.35">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spans="1:26" ht="12.75" customHeight="1" x14ac:dyDescent="0.35">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spans="1:26" ht="12.75" customHeight="1" x14ac:dyDescent="0.35">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spans="1:26" ht="12.75" customHeight="1" x14ac:dyDescent="0.35">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spans="1:26" ht="12.75" customHeight="1" x14ac:dyDescent="0.35">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spans="1:26" ht="12.75" customHeight="1" x14ac:dyDescent="0.35">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spans="1:26" ht="12.75" customHeight="1" x14ac:dyDescent="0.35">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spans="1:26" ht="12.75" customHeight="1" x14ac:dyDescent="0.35">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spans="1:26" ht="12.75" customHeight="1" x14ac:dyDescent="0.35">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spans="1:26" ht="12.75" customHeight="1" x14ac:dyDescent="0.35">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spans="1:26" ht="12.75" customHeight="1" x14ac:dyDescent="0.35">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spans="1:26" ht="12.75" customHeight="1" x14ac:dyDescent="0.35">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spans="1:26" ht="12.75" customHeight="1" x14ac:dyDescent="0.35">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spans="1:26" ht="12.75" customHeight="1" x14ac:dyDescent="0.35">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spans="1:26" ht="12.75" customHeight="1" x14ac:dyDescent="0.35">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spans="1:26" ht="12.75" customHeight="1" x14ac:dyDescent="0.35">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spans="1:26" ht="12.75" customHeight="1" x14ac:dyDescent="0.35">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spans="1:26" ht="12.75" customHeight="1" x14ac:dyDescent="0.35">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spans="1:26" ht="12.75" customHeight="1" x14ac:dyDescent="0.35">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spans="1:26" ht="12.75" customHeight="1" x14ac:dyDescent="0.35">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spans="1:26" ht="12.75" customHeight="1" x14ac:dyDescent="0.35">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spans="1:26" ht="12.75" customHeight="1" x14ac:dyDescent="0.35">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spans="1:26" ht="12.75" customHeight="1" x14ac:dyDescent="0.35">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spans="1:26" ht="12.75" customHeight="1" x14ac:dyDescent="0.35">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spans="1:26" ht="12.75" customHeight="1" x14ac:dyDescent="0.35">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spans="1:26" ht="12.75" customHeight="1" x14ac:dyDescent="0.35">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spans="1:26" ht="12.75" customHeight="1" x14ac:dyDescent="0.35">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spans="1:26" ht="12.75" customHeight="1" x14ac:dyDescent="0.35">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spans="1:26" ht="12.75" customHeight="1" x14ac:dyDescent="0.35">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spans="1:26" ht="12.75" customHeight="1" x14ac:dyDescent="0.35">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spans="1:26" ht="12.75" customHeight="1" x14ac:dyDescent="0.35">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spans="1:26" ht="12.75" customHeight="1" x14ac:dyDescent="0.35">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spans="1:26" ht="12.75" customHeight="1" x14ac:dyDescent="0.35">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spans="1:26" ht="12.75" customHeight="1" x14ac:dyDescent="0.35">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spans="1:26" ht="12.75" customHeight="1" x14ac:dyDescent="0.35">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spans="1:26" ht="12.75" customHeight="1" x14ac:dyDescent="0.35">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spans="1:26" ht="12.75" customHeight="1" x14ac:dyDescent="0.35">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spans="1:26" ht="12.75" customHeight="1" x14ac:dyDescent="0.35">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spans="1:26" ht="12.75" customHeight="1" x14ac:dyDescent="0.35">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spans="1:26" ht="12.75" customHeight="1" x14ac:dyDescent="0.35">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spans="1:26" ht="12.75" customHeight="1" x14ac:dyDescent="0.35">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spans="1:26" ht="12.75" customHeight="1" x14ac:dyDescent="0.35">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spans="1:26" ht="12.75" customHeight="1" x14ac:dyDescent="0.35">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spans="1:26" ht="12.75" customHeight="1" x14ac:dyDescent="0.35">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spans="1:26" ht="12.75" customHeight="1" x14ac:dyDescent="0.35">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spans="1:26" ht="12.75" customHeight="1" x14ac:dyDescent="0.35">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spans="1:26" ht="12.75" customHeight="1" x14ac:dyDescent="0.35">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spans="1:26" ht="12.75" customHeight="1" x14ac:dyDescent="0.35">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spans="1:26" ht="12.75" customHeight="1" x14ac:dyDescent="0.35">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spans="1:26" ht="12.75" customHeight="1" x14ac:dyDescent="0.35">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spans="1:26" ht="12.75" customHeight="1" x14ac:dyDescent="0.35">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spans="1:26" ht="12.75" customHeight="1" x14ac:dyDescent="0.35">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spans="1:26" ht="12.75" customHeight="1" x14ac:dyDescent="0.35">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spans="1:26" ht="12.75" customHeight="1" x14ac:dyDescent="0.35">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spans="1:26" ht="12.75" customHeight="1" x14ac:dyDescent="0.35">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spans="1:26" ht="12.75" customHeight="1" x14ac:dyDescent="0.35">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spans="1:26" ht="12.75" customHeight="1" x14ac:dyDescent="0.35">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spans="1:26" ht="12.75" customHeight="1" x14ac:dyDescent="0.35">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spans="1:26" ht="12.75" customHeight="1" x14ac:dyDescent="0.35">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spans="1:26" ht="12.75" customHeight="1" x14ac:dyDescent="0.35">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spans="1:26" ht="12.75" customHeight="1" x14ac:dyDescent="0.35">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spans="1:26" ht="12.75" customHeight="1" x14ac:dyDescent="0.35">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spans="1:26" ht="12.75" customHeight="1" x14ac:dyDescent="0.35">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spans="1:26" ht="12.75" customHeight="1" x14ac:dyDescent="0.35">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spans="1:26" ht="12.75" customHeight="1" x14ac:dyDescent="0.35">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spans="1:26" ht="12.75" customHeight="1" x14ac:dyDescent="0.35">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spans="1:26" ht="12.75" customHeight="1" x14ac:dyDescent="0.35">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spans="1:26" ht="12.75" customHeight="1" x14ac:dyDescent="0.35">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spans="1:26" ht="12.75" customHeight="1" x14ac:dyDescent="0.35">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spans="1:26" ht="12.75" customHeight="1" x14ac:dyDescent="0.35">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spans="1:26" ht="12.75" customHeight="1" x14ac:dyDescent="0.35">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spans="1:26" ht="12.75" customHeight="1" x14ac:dyDescent="0.35">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spans="1:26" ht="12.75" customHeight="1" x14ac:dyDescent="0.35">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spans="1:26" ht="12.75" customHeight="1" x14ac:dyDescent="0.35">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spans="1:26" ht="12.75" customHeight="1" x14ac:dyDescent="0.35">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spans="1:26" ht="12.75" customHeight="1" x14ac:dyDescent="0.35">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spans="1:26" ht="12.75" customHeight="1" x14ac:dyDescent="0.35">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spans="1:26" ht="12.75" customHeight="1" x14ac:dyDescent="0.35">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spans="1:26" ht="12.75" customHeight="1" x14ac:dyDescent="0.35">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spans="1:26" ht="12.75" customHeight="1" x14ac:dyDescent="0.35">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spans="1:26" ht="12.75" customHeight="1" x14ac:dyDescent="0.35">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spans="1:26" ht="12.75" customHeight="1" x14ac:dyDescent="0.35">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spans="1:26" ht="12.75" customHeight="1" x14ac:dyDescent="0.35">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spans="1:26" ht="12.75" customHeight="1" x14ac:dyDescent="0.35">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spans="1:26" ht="12.75" customHeight="1" x14ac:dyDescent="0.35">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spans="1:26" ht="12.75" customHeight="1" x14ac:dyDescent="0.35">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spans="1:26" ht="12.75" customHeight="1" x14ac:dyDescent="0.35">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spans="1:26" ht="12.75" customHeight="1" x14ac:dyDescent="0.35">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spans="1:26" ht="12.75" customHeight="1" x14ac:dyDescent="0.35">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spans="1:26" ht="12.75" customHeight="1" x14ac:dyDescent="0.35">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spans="1:26" ht="12.75" customHeight="1" x14ac:dyDescent="0.35">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spans="1:26" ht="12.75" customHeight="1" x14ac:dyDescent="0.35">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spans="1:26" ht="12.75" customHeight="1" x14ac:dyDescent="0.35">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spans="1:26" ht="12.75" customHeight="1" x14ac:dyDescent="0.35">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spans="1:26" ht="12.75" customHeight="1" x14ac:dyDescent="0.35">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spans="1:26" ht="12.75" customHeight="1" x14ac:dyDescent="0.35">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spans="1:26" ht="12.75" customHeight="1" x14ac:dyDescent="0.35">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spans="1:26" ht="12.75" customHeight="1" x14ac:dyDescent="0.35">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spans="1:26" ht="12.75" customHeight="1" x14ac:dyDescent="0.35">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spans="1:26" ht="12.75" customHeight="1" x14ac:dyDescent="0.35">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spans="1:26" ht="12.75" customHeight="1" x14ac:dyDescent="0.35">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spans="1:26" ht="12.75" customHeight="1" x14ac:dyDescent="0.35">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spans="1:26" ht="12.75" customHeight="1" x14ac:dyDescent="0.35">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spans="1:26" ht="12.75" customHeight="1" x14ac:dyDescent="0.35">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spans="1:26" ht="12.75" customHeight="1" x14ac:dyDescent="0.35">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spans="1:26" ht="12.75" customHeight="1" x14ac:dyDescent="0.35">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spans="1:26" ht="12.75" customHeight="1" x14ac:dyDescent="0.35">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spans="1:26" ht="12.75" customHeight="1" x14ac:dyDescent="0.35">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spans="1:26" ht="12.75" customHeight="1" x14ac:dyDescent="0.35">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spans="1:26" ht="12.75" customHeight="1" x14ac:dyDescent="0.35">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spans="1:26" ht="12.75" customHeight="1" x14ac:dyDescent="0.35">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spans="1:26" ht="12.75" customHeight="1" x14ac:dyDescent="0.35">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spans="1:26" ht="12.75" customHeight="1" x14ac:dyDescent="0.35">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spans="1:26" ht="12.75" customHeight="1" x14ac:dyDescent="0.35">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spans="1:26" ht="12.75" customHeight="1" x14ac:dyDescent="0.35">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spans="1:26" ht="12.75" customHeight="1" x14ac:dyDescent="0.35">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spans="1:26" ht="12.75" customHeight="1" x14ac:dyDescent="0.35">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spans="1:26" ht="12.75" customHeight="1" x14ac:dyDescent="0.35">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spans="1:26" ht="12.75" customHeight="1" x14ac:dyDescent="0.35">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spans="1:26" ht="12.75" customHeight="1" x14ac:dyDescent="0.35">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spans="1:26" ht="12.75" customHeight="1" x14ac:dyDescent="0.35">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spans="1:26" ht="12.75" customHeight="1" x14ac:dyDescent="0.35">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spans="1:26" ht="12.75" customHeight="1" x14ac:dyDescent="0.35">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spans="1:26" ht="12.75" customHeight="1" x14ac:dyDescent="0.35">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mergeCells count="12">
    <mergeCell ref="I11:S11"/>
    <mergeCell ref="I13:I14"/>
    <mergeCell ref="R13:R14"/>
    <mergeCell ref="S13:S14"/>
    <mergeCell ref="I15:S15"/>
    <mergeCell ref="B3:F3"/>
    <mergeCell ref="A11:A14"/>
    <mergeCell ref="B11:B14"/>
    <mergeCell ref="C11:C14"/>
    <mergeCell ref="D11:D14"/>
    <mergeCell ref="E11:E14"/>
    <mergeCell ref="F11:F14"/>
  </mergeCells>
  <dataValidations count="1">
    <dataValidation type="list" allowBlank="1" sqref="I16:I19 N16:N19 R16:S19 I21:I25 N21:N25 R21:S25 I27:I31 N27:N31 R27:S31 I33:I34 N33:N34 R33:S34 I36:I37 N36:N37 R36:S37 I39:I42 N39:N42 R39:S42 I44:I46 N44:N46 R44:S46 I48:I53 N48:N53 R48:S53 I55:I60 N55:N60 R55:S60 I62:I66 N62:N66 R62:S66 I68:I69 N68:N69 R68:S69 I71:I77 N71:N77 R71:S77" xr:uid="{00000000-0002-0000-0100-000000000000}">
      <formula1>"Pass,Fail,Untested,N/A"</formula1>
      <formula2>0</formula2>
    </dataValidation>
  </dataValidations>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CFFFF"/>
  </sheetPr>
  <dimension ref="A1:Z1000"/>
  <sheetViews>
    <sheetView zoomScaleNormal="100" workbookViewId="0">
      <selection activeCell="E13" sqref="E13"/>
    </sheetView>
  </sheetViews>
  <sheetFormatPr defaultColWidth="14.453125" defaultRowHeight="16.5" x14ac:dyDescent="0.35"/>
  <cols>
    <col min="1" max="1" width="9.08984375" style="41" customWidth="1"/>
    <col min="2" max="2" width="15.453125" style="41" customWidth="1"/>
    <col min="3" max="3" width="22.1796875" style="41" customWidth="1"/>
    <col min="4" max="7" width="9.08984375" style="41" customWidth="1"/>
    <col min="8" max="8" width="37.81640625" style="41" customWidth="1"/>
    <col min="9" max="26" width="8" style="41" customWidth="1"/>
    <col min="27" max="16384" width="14.453125" style="41"/>
  </cols>
  <sheetData>
    <row r="1" spans="1:26" ht="25.5" customHeight="1" x14ac:dyDescent="0.35">
      <c r="A1" s="75"/>
      <c r="B1" s="102" t="s">
        <v>375</v>
      </c>
      <c r="C1" s="102"/>
      <c r="D1" s="102"/>
      <c r="E1" s="102"/>
      <c r="F1" s="102"/>
      <c r="G1" s="102"/>
      <c r="H1" s="102"/>
      <c r="I1" s="75"/>
      <c r="J1" s="75"/>
      <c r="K1" s="75"/>
      <c r="L1" s="75"/>
      <c r="M1" s="75"/>
      <c r="N1" s="75"/>
      <c r="O1" s="75"/>
      <c r="P1" s="75"/>
      <c r="Q1" s="75"/>
      <c r="R1" s="75"/>
      <c r="S1" s="75"/>
      <c r="T1" s="75"/>
      <c r="U1" s="75"/>
      <c r="V1" s="75"/>
      <c r="W1" s="75"/>
      <c r="X1" s="75"/>
      <c r="Y1" s="75"/>
      <c r="Z1" s="75"/>
    </row>
    <row r="2" spans="1:26" ht="12.75" customHeight="1" x14ac:dyDescent="0.35">
      <c r="A2" s="75"/>
      <c r="B2" s="103"/>
      <c r="C2" s="104"/>
      <c r="D2" s="75"/>
      <c r="E2" s="75"/>
      <c r="F2" s="75"/>
      <c r="G2" s="75"/>
      <c r="H2" s="105"/>
      <c r="I2" s="75"/>
      <c r="J2" s="75"/>
      <c r="K2" s="75"/>
      <c r="L2" s="75"/>
      <c r="M2" s="75"/>
      <c r="N2" s="75"/>
      <c r="O2" s="75"/>
      <c r="P2" s="75"/>
      <c r="Q2" s="75"/>
      <c r="R2" s="75"/>
      <c r="S2" s="75"/>
      <c r="T2" s="75"/>
      <c r="U2" s="75"/>
      <c r="V2" s="75"/>
      <c r="W2" s="75"/>
      <c r="X2" s="75"/>
      <c r="Y2" s="75"/>
      <c r="Z2" s="75"/>
    </row>
    <row r="3" spans="1:26" ht="12.75" customHeight="1" x14ac:dyDescent="0.35">
      <c r="A3" s="75"/>
      <c r="B3" s="75"/>
      <c r="C3" s="75"/>
      <c r="D3" s="75"/>
      <c r="E3" s="75"/>
      <c r="F3" s="75"/>
      <c r="G3" s="75"/>
      <c r="H3" s="75"/>
      <c r="I3" s="75"/>
      <c r="J3" s="75"/>
      <c r="K3" s="75"/>
      <c r="L3" s="75"/>
      <c r="M3" s="75"/>
      <c r="N3" s="75"/>
      <c r="O3" s="75"/>
      <c r="P3" s="75"/>
      <c r="Q3" s="75"/>
      <c r="R3" s="75"/>
      <c r="S3" s="75"/>
      <c r="T3" s="75"/>
      <c r="U3" s="75"/>
      <c r="V3" s="75"/>
      <c r="W3" s="75"/>
      <c r="X3" s="75"/>
      <c r="Y3" s="75"/>
      <c r="Z3" s="75"/>
    </row>
    <row r="4" spans="1:26" ht="12.75" customHeight="1" x14ac:dyDescent="0.35">
      <c r="A4" s="106"/>
      <c r="B4" s="107" t="s">
        <v>12</v>
      </c>
      <c r="C4" s="107" t="s">
        <v>376</v>
      </c>
      <c r="D4" s="107" t="s">
        <v>22</v>
      </c>
      <c r="E4" s="107" t="s">
        <v>25</v>
      </c>
      <c r="F4" s="107" t="s">
        <v>27</v>
      </c>
      <c r="G4" s="107" t="s">
        <v>28</v>
      </c>
      <c r="H4" s="108" t="s">
        <v>377</v>
      </c>
      <c r="I4" s="75"/>
      <c r="J4" s="75"/>
      <c r="K4" s="75"/>
      <c r="L4" s="75"/>
      <c r="M4" s="75"/>
      <c r="N4" s="75"/>
      <c r="O4" s="75"/>
      <c r="P4" s="75"/>
      <c r="Q4" s="75"/>
      <c r="R4" s="75"/>
      <c r="S4" s="75"/>
      <c r="T4" s="75"/>
      <c r="U4" s="75"/>
      <c r="V4" s="75"/>
      <c r="W4" s="75"/>
      <c r="X4" s="75"/>
      <c r="Y4" s="75"/>
      <c r="Z4" s="75"/>
    </row>
    <row r="5" spans="1:26" ht="12.75" customHeight="1" x14ac:dyDescent="0.35">
      <c r="A5" s="106"/>
      <c r="B5" s="109">
        <v>1</v>
      </c>
      <c r="C5" s="110" t="str">
        <f>FlyBookingTestCase!B2</f>
        <v>FLY</v>
      </c>
      <c r="D5" s="111">
        <f>FlyBookingTestCase!B6</f>
        <v>44</v>
      </c>
      <c r="E5" s="111">
        <f>FlyBookingTestCase!C6</f>
        <v>6</v>
      </c>
      <c r="F5" s="111">
        <f>FlyBookingTestCase!D6</f>
        <v>1</v>
      </c>
      <c r="G5" s="112">
        <f>FlyBookingTestCase!E6</f>
        <v>0</v>
      </c>
      <c r="H5" s="113">
        <f>FlyBookingTestCase!F6</f>
        <v>51</v>
      </c>
      <c r="I5" s="75"/>
      <c r="J5" s="75"/>
      <c r="K5" s="75"/>
      <c r="L5" s="75"/>
      <c r="M5" s="75"/>
      <c r="N5" s="75"/>
      <c r="O5" s="75"/>
      <c r="P5" s="75"/>
      <c r="Q5" s="75"/>
      <c r="R5" s="75"/>
      <c r="S5" s="75"/>
      <c r="T5" s="75"/>
      <c r="U5" s="75"/>
      <c r="V5" s="75"/>
      <c r="W5" s="75"/>
      <c r="X5" s="75"/>
      <c r="Y5" s="75"/>
      <c r="Z5" s="75"/>
    </row>
    <row r="6" spans="1:26" ht="12.75" customHeight="1" x14ac:dyDescent="0.35">
      <c r="A6" s="106"/>
      <c r="B6" s="109"/>
      <c r="C6" s="110"/>
      <c r="D6" s="111"/>
      <c r="E6" s="111"/>
      <c r="F6" s="111"/>
      <c r="G6" s="112"/>
      <c r="H6" s="113"/>
      <c r="I6" s="75"/>
      <c r="J6" s="75"/>
      <c r="K6" s="75"/>
      <c r="L6" s="75"/>
      <c r="M6" s="75"/>
      <c r="N6" s="75"/>
      <c r="O6" s="75"/>
      <c r="P6" s="75"/>
      <c r="Q6" s="75"/>
      <c r="R6" s="75"/>
      <c r="S6" s="75"/>
      <c r="T6" s="75"/>
      <c r="U6" s="75"/>
      <c r="V6" s="75"/>
      <c r="W6" s="75"/>
      <c r="X6" s="75"/>
      <c r="Y6" s="75"/>
      <c r="Z6" s="75"/>
    </row>
    <row r="7" spans="1:26" ht="12.75" customHeight="1" x14ac:dyDescent="0.35">
      <c r="A7" s="106"/>
      <c r="B7" s="109"/>
      <c r="C7" s="110"/>
      <c r="D7" s="111"/>
      <c r="E7" s="111"/>
      <c r="F7" s="111"/>
      <c r="G7" s="112"/>
      <c r="H7" s="113"/>
      <c r="I7" s="75"/>
      <c r="J7" s="75"/>
      <c r="K7" s="75"/>
      <c r="L7" s="75"/>
      <c r="M7" s="75"/>
      <c r="N7" s="75"/>
      <c r="O7" s="75"/>
      <c r="P7" s="75"/>
      <c r="Q7" s="75"/>
      <c r="R7" s="75"/>
      <c r="S7" s="75"/>
      <c r="T7" s="75"/>
      <c r="U7" s="75"/>
      <c r="V7" s="75"/>
      <c r="W7" s="75"/>
      <c r="X7" s="75"/>
      <c r="Y7" s="75"/>
      <c r="Z7" s="75"/>
    </row>
    <row r="8" spans="1:26" ht="12.75" customHeight="1" x14ac:dyDescent="0.35">
      <c r="A8" s="106"/>
      <c r="B8" s="107"/>
      <c r="C8" s="107" t="s">
        <v>378</v>
      </c>
      <c r="D8" s="114">
        <f>SUM(D5:D7)</f>
        <v>44</v>
      </c>
      <c r="E8" s="114">
        <f>SUM(E5:E7)</f>
        <v>6</v>
      </c>
      <c r="F8" s="114">
        <f>SUM(F5:F7)</f>
        <v>1</v>
      </c>
      <c r="G8" s="114">
        <f>SUM(G5:G7)</f>
        <v>0</v>
      </c>
      <c r="H8" s="115">
        <f>SUM(H5:H7)</f>
        <v>51</v>
      </c>
      <c r="I8" s="75"/>
      <c r="J8" s="75"/>
      <c r="K8" s="75"/>
      <c r="L8" s="75"/>
      <c r="M8" s="75"/>
      <c r="N8" s="75"/>
      <c r="O8" s="75"/>
      <c r="P8" s="75"/>
      <c r="Q8" s="75"/>
      <c r="R8" s="75"/>
      <c r="S8" s="75"/>
      <c r="T8" s="75"/>
      <c r="U8" s="75"/>
      <c r="V8" s="75"/>
      <c r="W8" s="75"/>
      <c r="X8" s="75"/>
      <c r="Y8" s="75"/>
      <c r="Z8" s="75"/>
    </row>
    <row r="9" spans="1:26" ht="12.75" customHeight="1" x14ac:dyDescent="0.35">
      <c r="A9" s="75"/>
      <c r="B9" s="116"/>
      <c r="C9" s="75"/>
      <c r="D9" s="117"/>
      <c r="E9" s="118"/>
      <c r="F9" s="118"/>
      <c r="G9" s="118"/>
      <c r="H9" s="118"/>
      <c r="I9" s="75"/>
      <c r="J9" s="75"/>
      <c r="K9" s="75"/>
      <c r="L9" s="75"/>
      <c r="M9" s="75"/>
      <c r="N9" s="75"/>
      <c r="O9" s="75"/>
      <c r="P9" s="75"/>
      <c r="Q9" s="75"/>
      <c r="R9" s="75"/>
      <c r="S9" s="75"/>
      <c r="T9" s="75"/>
      <c r="U9" s="75"/>
      <c r="V9" s="75"/>
      <c r="W9" s="75"/>
      <c r="X9" s="75"/>
      <c r="Y9" s="75"/>
      <c r="Z9" s="75"/>
    </row>
    <row r="10" spans="1:26" ht="12.75" customHeight="1" x14ac:dyDescent="0.35">
      <c r="A10" s="75"/>
      <c r="B10" s="75"/>
      <c r="C10" s="119" t="s">
        <v>379</v>
      </c>
      <c r="D10" s="75"/>
      <c r="E10" s="120">
        <f>(D8+E8)*100/(H8-G8)</f>
        <v>98.039215686274517</v>
      </c>
      <c r="F10" s="75" t="s">
        <v>380</v>
      </c>
      <c r="G10" s="75"/>
      <c r="H10" s="63"/>
      <c r="I10" s="75"/>
      <c r="J10" s="75"/>
      <c r="K10" s="75"/>
      <c r="L10" s="75"/>
      <c r="M10" s="75"/>
      <c r="N10" s="75"/>
      <c r="O10" s="75"/>
      <c r="P10" s="75"/>
      <c r="Q10" s="75"/>
      <c r="R10" s="75"/>
      <c r="S10" s="75"/>
      <c r="T10" s="75"/>
      <c r="U10" s="75"/>
      <c r="V10" s="75"/>
      <c r="W10" s="75"/>
      <c r="X10" s="75"/>
      <c r="Y10" s="75"/>
      <c r="Z10" s="75"/>
    </row>
    <row r="11" spans="1:26" ht="12.75" customHeight="1" x14ac:dyDescent="0.35">
      <c r="A11" s="75"/>
      <c r="B11" s="75"/>
      <c r="C11" s="119" t="s">
        <v>381</v>
      </c>
      <c r="D11" s="75"/>
      <c r="E11" s="120">
        <f>D8*100/(H8-G8)</f>
        <v>86.274509803921575</v>
      </c>
      <c r="F11" s="75" t="s">
        <v>380</v>
      </c>
      <c r="G11" s="75"/>
      <c r="H11" s="63"/>
      <c r="I11" s="75"/>
      <c r="J11" s="75"/>
      <c r="K11" s="75"/>
      <c r="L11" s="75"/>
      <c r="M11" s="75"/>
      <c r="N11" s="75"/>
      <c r="O11" s="75"/>
      <c r="P11" s="75"/>
      <c r="Q11" s="75"/>
      <c r="R11" s="75"/>
      <c r="S11" s="75"/>
      <c r="T11" s="75"/>
      <c r="U11" s="75"/>
      <c r="V11" s="75"/>
      <c r="W11" s="75"/>
      <c r="X11" s="75"/>
      <c r="Y11" s="75"/>
      <c r="Z11" s="75"/>
    </row>
    <row r="12" spans="1:26" ht="12.75" customHeight="1" x14ac:dyDescent="0.35">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row>
    <row r="13" spans="1:26" ht="12.75" customHeight="1" x14ac:dyDescent="0.35">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row>
    <row r="14" spans="1:26" ht="12.75" customHeight="1" x14ac:dyDescent="0.35">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row>
    <row r="15" spans="1:26" ht="12.75" customHeight="1" x14ac:dyDescent="0.35">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row>
    <row r="16" spans="1:26" ht="12.75" customHeight="1" x14ac:dyDescent="0.35">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row>
    <row r="17" spans="1:26" ht="12.75" customHeight="1" x14ac:dyDescent="0.35">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row>
    <row r="18" spans="1:26" ht="12.75" customHeight="1" x14ac:dyDescent="0.35">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2.75" customHeight="1" x14ac:dyDescent="0.35">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row>
    <row r="20" spans="1:26" ht="12.75" customHeight="1" x14ac:dyDescent="0.35">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row>
    <row r="21" spans="1:26" ht="12.75" customHeight="1" x14ac:dyDescent="0.35">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row>
    <row r="22" spans="1:26" ht="12.75" customHeight="1" x14ac:dyDescent="0.35">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row>
    <row r="23" spans="1:26" ht="12.75" customHeight="1" x14ac:dyDescent="0.35">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row>
    <row r="24" spans="1:26" ht="12.75" customHeight="1" x14ac:dyDescent="0.35">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row>
    <row r="25" spans="1:26" ht="12.75" customHeight="1" x14ac:dyDescent="0.35">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row>
    <row r="26" spans="1:26" ht="12.75" customHeight="1" x14ac:dyDescent="0.35">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row>
    <row r="27" spans="1:26" ht="12.75" customHeight="1" x14ac:dyDescent="0.35">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spans="1:26" ht="12.75" customHeight="1" x14ac:dyDescent="0.35">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row>
    <row r="29" spans="1:26" ht="12.75" customHeight="1" x14ac:dyDescent="0.35">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spans="1:26" ht="12.75" customHeight="1" x14ac:dyDescent="0.35">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spans="1:26" ht="12.75" customHeight="1" x14ac:dyDescent="0.35">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spans="1:26" ht="12.75" customHeight="1" x14ac:dyDescent="0.35">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row>
    <row r="33" spans="1:26" ht="12.75" customHeight="1" x14ac:dyDescent="0.35">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spans="1:26" ht="12.75" customHeight="1" x14ac:dyDescent="0.35">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spans="1:26" ht="12.75" customHeight="1" x14ac:dyDescent="0.35">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ht="12.75" customHeight="1" x14ac:dyDescent="0.35">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spans="1:26" ht="12.75" customHeight="1" x14ac:dyDescent="0.35">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spans="1:26" ht="12.75" customHeight="1" x14ac:dyDescent="0.35">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spans="1:26" ht="12.75" customHeight="1" x14ac:dyDescent="0.35">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spans="1:26" ht="12.75" customHeight="1" x14ac:dyDescent="0.35">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spans="1:26" ht="12.75" customHeight="1" x14ac:dyDescent="0.35">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spans="1:26" ht="12.75" customHeight="1" x14ac:dyDescent="0.35">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spans="1:26" ht="12.75" customHeight="1" x14ac:dyDescent="0.35">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spans="1:26" ht="12.75" customHeight="1" x14ac:dyDescent="0.35">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spans="1:26" ht="12.75" customHeight="1" x14ac:dyDescent="0.35">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spans="1:26" ht="12.75" customHeight="1" x14ac:dyDescent="0.35">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spans="1:26" ht="12.75" customHeight="1" x14ac:dyDescent="0.35">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spans="1:26" ht="12.75" customHeight="1" x14ac:dyDescent="0.35">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spans="1:26" ht="12.75" customHeight="1" x14ac:dyDescent="0.35">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spans="1:26" ht="12.75" customHeight="1" x14ac:dyDescent="0.35">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spans="1:26" ht="12.75" customHeight="1" x14ac:dyDescent="0.35">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spans="1:26" ht="12.75" customHeight="1" x14ac:dyDescent="0.35">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spans="1:26" ht="12.75" customHeight="1" x14ac:dyDescent="0.35">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spans="1:26" ht="12.75" customHeight="1" x14ac:dyDescent="0.35">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spans="1:26" ht="12.75" customHeight="1" x14ac:dyDescent="0.35">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spans="1:26" ht="12.75" customHeight="1" x14ac:dyDescent="0.35">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spans="1:26" ht="12.75" customHeight="1" x14ac:dyDescent="0.35">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spans="1:26" ht="12.75" customHeight="1" x14ac:dyDescent="0.35">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spans="1:26" ht="12.75" customHeight="1" x14ac:dyDescent="0.35">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spans="1:26" ht="12.75" customHeight="1" x14ac:dyDescent="0.35">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spans="1:26" ht="12.75" customHeight="1" x14ac:dyDescent="0.35">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spans="1:26" ht="12.75" customHeight="1" x14ac:dyDescent="0.35">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spans="1:26" ht="12.75" customHeight="1" x14ac:dyDescent="0.35">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spans="1:26" ht="12.75" customHeight="1" x14ac:dyDescent="0.35">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spans="1:26" ht="12.75" customHeight="1" x14ac:dyDescent="0.35">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spans="1:26" ht="12.75" customHeight="1" x14ac:dyDescent="0.35">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spans="1:26" ht="12.75" customHeight="1" x14ac:dyDescent="0.35">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spans="1:26" ht="12.75" customHeight="1" x14ac:dyDescent="0.35">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spans="1:26" ht="12.75" customHeight="1" x14ac:dyDescent="0.35">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spans="1:26" ht="12.75" customHeight="1" x14ac:dyDescent="0.35">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spans="1:26" ht="12.75" customHeight="1" x14ac:dyDescent="0.35">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spans="1:26" ht="12.75" customHeight="1" x14ac:dyDescent="0.35">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spans="1:26" ht="12.75" customHeight="1" x14ac:dyDescent="0.35">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spans="1:26" ht="12.75" customHeight="1" x14ac:dyDescent="0.35">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spans="1:26" ht="12.75" customHeight="1" x14ac:dyDescent="0.35">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spans="1:26" ht="12.75" customHeight="1" x14ac:dyDescent="0.35">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spans="1:26" ht="12.75" customHeight="1" x14ac:dyDescent="0.35">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spans="1:26" ht="12.75" customHeight="1" x14ac:dyDescent="0.35">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spans="1:26" ht="12.75" customHeight="1" x14ac:dyDescent="0.35">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spans="1:26" ht="12.75" customHeight="1" x14ac:dyDescent="0.35">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spans="1:26" ht="12.75" customHeight="1" x14ac:dyDescent="0.35">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spans="1:26" ht="12.75" customHeight="1" x14ac:dyDescent="0.35">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spans="1:26" ht="12.75" customHeight="1" x14ac:dyDescent="0.35">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spans="1:26" ht="12.75" customHeight="1" x14ac:dyDescent="0.35">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spans="1:26" ht="12.75" customHeight="1" x14ac:dyDescent="0.35">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spans="1:26" ht="12.75" customHeight="1" x14ac:dyDescent="0.35">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spans="1:26" ht="12.75" customHeight="1" x14ac:dyDescent="0.35">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spans="1:26" ht="12.75" customHeight="1" x14ac:dyDescent="0.35">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spans="1:26" ht="12.75" customHeight="1" x14ac:dyDescent="0.35">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spans="1:26" ht="12.75" customHeight="1" x14ac:dyDescent="0.35">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26" ht="12.75" customHeight="1" x14ac:dyDescent="0.35">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spans="1:26" ht="12.75" customHeight="1" x14ac:dyDescent="0.35">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spans="1:26" ht="12.75" customHeight="1" x14ac:dyDescent="0.35">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spans="1:26" ht="12.75" customHeight="1" x14ac:dyDescent="0.35">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spans="1:26" ht="12.75" customHeight="1" x14ac:dyDescent="0.35">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spans="1:26" ht="12.75" customHeight="1" x14ac:dyDescent="0.35">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spans="1:26" ht="12.75" customHeight="1" x14ac:dyDescent="0.35">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spans="1:26" ht="12.75" customHeight="1" x14ac:dyDescent="0.35">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spans="1:26" ht="12.75" customHeight="1" x14ac:dyDescent="0.35">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spans="1:26" ht="12.75" customHeight="1" x14ac:dyDescent="0.35">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spans="1:26" ht="12.75" customHeight="1" x14ac:dyDescent="0.35">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spans="1:26" ht="12.75" customHeight="1" x14ac:dyDescent="0.35">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spans="1:26" ht="12.75" customHeight="1" x14ac:dyDescent="0.35">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spans="1:26" ht="12.75" customHeight="1" x14ac:dyDescent="0.35">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spans="1:26" ht="12.75" customHeight="1" x14ac:dyDescent="0.35">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spans="1:26" ht="12.75" customHeight="1" x14ac:dyDescent="0.35">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spans="1:26" ht="12.75" customHeight="1" x14ac:dyDescent="0.35">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spans="1:26" ht="12.75" customHeight="1" x14ac:dyDescent="0.35">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spans="1:26" ht="12.75" customHeight="1" x14ac:dyDescent="0.35">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spans="1:26" ht="12.75" customHeight="1" x14ac:dyDescent="0.35">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spans="1:26" ht="12.75" customHeight="1" x14ac:dyDescent="0.35">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spans="1:26" ht="12.75" customHeight="1" x14ac:dyDescent="0.35">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spans="1:26" ht="12.75" customHeight="1" x14ac:dyDescent="0.35">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spans="1:26" ht="12.75" customHeight="1" x14ac:dyDescent="0.35">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spans="1:26" ht="12.75" customHeight="1" x14ac:dyDescent="0.35">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spans="1:26" ht="12.75" customHeight="1" x14ac:dyDescent="0.35">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spans="1:26" ht="12.75" customHeight="1" x14ac:dyDescent="0.35">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spans="1:26" ht="12.75" customHeight="1" x14ac:dyDescent="0.35">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spans="1:26" ht="12.75" customHeight="1" x14ac:dyDescent="0.35">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spans="1:26" ht="12.75" customHeight="1" x14ac:dyDescent="0.35">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spans="1:26" ht="12.75" customHeight="1" x14ac:dyDescent="0.35">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spans="1:26" ht="12.75" customHeight="1" x14ac:dyDescent="0.35">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spans="1:26" ht="12.75" customHeight="1" x14ac:dyDescent="0.35">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spans="1:26" ht="12.75" customHeight="1" x14ac:dyDescent="0.35">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spans="1:26" ht="12.75" customHeight="1" x14ac:dyDescent="0.35">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spans="1:26" ht="12.75" customHeight="1" x14ac:dyDescent="0.35">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spans="1:26" ht="12.75" customHeight="1" x14ac:dyDescent="0.35">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spans="1:26" ht="12.75" customHeight="1" x14ac:dyDescent="0.35">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spans="1:26" ht="12.75" customHeight="1" x14ac:dyDescent="0.35">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spans="1:26" ht="12.75" customHeight="1" x14ac:dyDescent="0.35">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spans="1:26" ht="12.75" customHeight="1" x14ac:dyDescent="0.35">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spans="1:26" ht="12.75" customHeight="1" x14ac:dyDescent="0.35">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spans="1:26" ht="12.75" customHeight="1" x14ac:dyDescent="0.35">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spans="1:26" ht="12.75" customHeight="1" x14ac:dyDescent="0.35">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spans="1:26" ht="12.75" customHeight="1" x14ac:dyDescent="0.35">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spans="1:26" ht="12.75" customHeight="1" x14ac:dyDescent="0.35">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spans="1:26" ht="12.75" customHeight="1" x14ac:dyDescent="0.35">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spans="1:26" ht="12.75" customHeight="1" x14ac:dyDescent="0.35">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spans="1:26" ht="12.75" customHeight="1" x14ac:dyDescent="0.35">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spans="1:26" ht="12.75" customHeight="1" x14ac:dyDescent="0.35">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spans="1:26" ht="12.75" customHeight="1" x14ac:dyDescent="0.35">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spans="1:26" ht="12.75" customHeight="1" x14ac:dyDescent="0.35">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spans="1:26" ht="12.75" customHeight="1" x14ac:dyDescent="0.35">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spans="1:26" ht="12.75" customHeight="1" x14ac:dyDescent="0.35">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spans="1:26" ht="12.75" customHeight="1" x14ac:dyDescent="0.35">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spans="1:26" ht="12.75" customHeight="1" x14ac:dyDescent="0.35">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spans="1:26" ht="12.75" customHeight="1" x14ac:dyDescent="0.35">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spans="1:26" ht="12.75" customHeight="1" x14ac:dyDescent="0.35">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spans="1:26" ht="12.75" customHeight="1" x14ac:dyDescent="0.35">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spans="1:26" ht="12.75" customHeight="1" x14ac:dyDescent="0.35">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spans="1:26" ht="12.75" customHeight="1" x14ac:dyDescent="0.35">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spans="1:26" ht="12.75" customHeight="1" x14ac:dyDescent="0.35">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spans="1:26" ht="12.75" customHeight="1" x14ac:dyDescent="0.35">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spans="1:26" ht="12.75" customHeight="1" x14ac:dyDescent="0.35">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spans="1:26" ht="12.75" customHeight="1" x14ac:dyDescent="0.35">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spans="1:26" ht="12.75" customHeight="1" x14ac:dyDescent="0.35">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spans="1:26" ht="12.75" customHeight="1" x14ac:dyDescent="0.35">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spans="1:26" ht="12.75" customHeight="1" x14ac:dyDescent="0.35">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spans="1:26" ht="12.75" customHeight="1" x14ac:dyDescent="0.35">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spans="1:26" ht="12.75" customHeight="1" x14ac:dyDescent="0.35">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spans="1:26" ht="12.75" customHeight="1" x14ac:dyDescent="0.35">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spans="1:26" ht="12.75" customHeight="1" x14ac:dyDescent="0.35">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spans="1:26" ht="12.75" customHeight="1" x14ac:dyDescent="0.35">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spans="1:26" ht="12.75" customHeight="1" x14ac:dyDescent="0.35">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spans="1:26" ht="12.75" customHeight="1" x14ac:dyDescent="0.35">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spans="1:26" ht="12.75" customHeight="1" x14ac:dyDescent="0.35">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spans="1:26" ht="12.75" customHeight="1" x14ac:dyDescent="0.35">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spans="1:26" ht="12.75" customHeight="1" x14ac:dyDescent="0.35">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spans="1:26" ht="12.75" customHeight="1" x14ac:dyDescent="0.35">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spans="1:26" ht="12.75" customHeight="1" x14ac:dyDescent="0.35">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spans="1:26" ht="12.75" customHeight="1" x14ac:dyDescent="0.35">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spans="1:26" ht="12.75" customHeight="1" x14ac:dyDescent="0.35">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spans="1:26" ht="12.75" customHeight="1" x14ac:dyDescent="0.35">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spans="1:26" ht="12.75" customHeight="1" x14ac:dyDescent="0.35">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spans="1:26" ht="12.75" customHeight="1" x14ac:dyDescent="0.35">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spans="1:26" ht="12.75" customHeight="1" x14ac:dyDescent="0.35">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spans="1:26" ht="12.75" customHeight="1" x14ac:dyDescent="0.35">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spans="1:26" ht="12.75" customHeight="1" x14ac:dyDescent="0.35">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spans="1:26" ht="12.75" customHeight="1" x14ac:dyDescent="0.35">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spans="1:26" ht="12.75" customHeight="1" x14ac:dyDescent="0.35">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spans="1:26" ht="12.75" customHeight="1" x14ac:dyDescent="0.35">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spans="1:26" ht="12.75" customHeight="1" x14ac:dyDescent="0.35">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spans="1:26" ht="12.75" customHeight="1" x14ac:dyDescent="0.35">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spans="1:26" ht="12.75" customHeight="1" x14ac:dyDescent="0.35">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spans="1:26" ht="12.75" customHeight="1" x14ac:dyDescent="0.35">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spans="1:26" ht="12.75" customHeight="1" x14ac:dyDescent="0.35">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spans="1:26" ht="12.75" customHeight="1" x14ac:dyDescent="0.35">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spans="1:26" ht="12.75" customHeight="1" x14ac:dyDescent="0.35">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spans="1:26" ht="12.75" customHeight="1" x14ac:dyDescent="0.35">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spans="1:26" ht="12.75" customHeight="1" x14ac:dyDescent="0.35">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spans="1:26" ht="12.75" customHeight="1" x14ac:dyDescent="0.35">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spans="1:26" ht="12.75" customHeight="1" x14ac:dyDescent="0.35">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spans="1:26" ht="12.75" customHeight="1" x14ac:dyDescent="0.35">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spans="1:26" ht="12.75" customHeight="1" x14ac:dyDescent="0.35">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spans="1:26" ht="12.75" customHeight="1" x14ac:dyDescent="0.35">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spans="1:26" ht="12.75" customHeight="1" x14ac:dyDescent="0.35">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spans="1:26" ht="12.75" customHeight="1" x14ac:dyDescent="0.35">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spans="1:26" ht="12.75" customHeight="1" x14ac:dyDescent="0.35">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spans="1:26" ht="12.75" customHeight="1" x14ac:dyDescent="0.35">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spans="1:26" ht="12.75" customHeight="1" x14ac:dyDescent="0.35">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spans="1:26" ht="12.75" customHeight="1" x14ac:dyDescent="0.35">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spans="1:26" ht="12.75" customHeight="1" x14ac:dyDescent="0.35">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spans="1:26" ht="12.75" customHeight="1" x14ac:dyDescent="0.35">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spans="1:26" ht="12.75" customHeight="1" x14ac:dyDescent="0.35">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spans="1:26" ht="12.75" customHeight="1" x14ac:dyDescent="0.35">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spans="1:26" ht="12.75" customHeight="1" x14ac:dyDescent="0.35">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spans="1:26" ht="12.75" customHeight="1" x14ac:dyDescent="0.35">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spans="1:26" ht="12.75" customHeight="1" x14ac:dyDescent="0.35">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spans="1:26" ht="12.75" customHeight="1" x14ac:dyDescent="0.35">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spans="1:26" ht="12.75" customHeight="1" x14ac:dyDescent="0.35">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spans="1:26" ht="12.75" customHeight="1" x14ac:dyDescent="0.35">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spans="1:26" ht="12.75" customHeight="1" x14ac:dyDescent="0.35">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spans="1:26" ht="12.75" customHeight="1" x14ac:dyDescent="0.35">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spans="1:26" ht="12.75" customHeight="1" x14ac:dyDescent="0.35">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spans="1:26" ht="12.75" customHeight="1" x14ac:dyDescent="0.35">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spans="1:26" ht="12.75" customHeight="1" x14ac:dyDescent="0.35">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spans="1:26" ht="12.75" customHeight="1" x14ac:dyDescent="0.35">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spans="1:26" ht="12.75" customHeight="1" x14ac:dyDescent="0.35">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spans="1:26" ht="12.75" customHeight="1" x14ac:dyDescent="0.35">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spans="1:26" ht="12.75" customHeight="1" x14ac:dyDescent="0.35">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spans="1:26" ht="12.75" customHeight="1" x14ac:dyDescent="0.35">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spans="1:26" ht="12.75" customHeight="1" x14ac:dyDescent="0.35">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spans="1:26" ht="12.75" customHeight="1" x14ac:dyDescent="0.35">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spans="1:26" ht="12.75" customHeight="1" x14ac:dyDescent="0.35">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spans="1:26" ht="12.75" customHeight="1" x14ac:dyDescent="0.35">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spans="1:26" ht="12.75" customHeight="1" x14ac:dyDescent="0.35">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spans="1:26" ht="12.75" customHeight="1" x14ac:dyDescent="0.35">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spans="1:26" ht="12.75" customHeight="1" x14ac:dyDescent="0.35">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spans="1:26" ht="12.75" customHeight="1" x14ac:dyDescent="0.35">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spans="1:26" ht="12.75" customHeight="1" x14ac:dyDescent="0.35">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spans="1:26" ht="12.75" customHeight="1" x14ac:dyDescent="0.35">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spans="1:26" ht="12.75" customHeight="1" x14ac:dyDescent="0.35">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spans="1:26" ht="12.75" customHeight="1" x14ac:dyDescent="0.35">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spans="1:26" ht="12.75" customHeight="1" x14ac:dyDescent="0.35">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spans="1:26" ht="12.75" customHeight="1" x14ac:dyDescent="0.35">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spans="1:26" ht="12.75" customHeight="1" x14ac:dyDescent="0.35">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spans="1:26" ht="12.75" customHeight="1" x14ac:dyDescent="0.35">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spans="1:26" ht="12.75" customHeight="1" x14ac:dyDescent="0.35">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spans="1:26" ht="12.75" customHeight="1" x14ac:dyDescent="0.35">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spans="1:26" ht="12.75" customHeight="1" x14ac:dyDescent="0.35">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spans="1:26" ht="12.75" customHeight="1" x14ac:dyDescent="0.35">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spans="1:26" ht="12.75" customHeight="1" x14ac:dyDescent="0.35">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spans="1:26" ht="12.75" customHeight="1" x14ac:dyDescent="0.35">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spans="1:26" ht="12.75" customHeight="1" x14ac:dyDescent="0.35">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spans="1:26" ht="12.75" customHeight="1" x14ac:dyDescent="0.35">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spans="1:26" ht="12.75" customHeight="1" x14ac:dyDescent="0.35">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spans="1:26" ht="12.75" customHeight="1" x14ac:dyDescent="0.35">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spans="1:26" ht="12.75" customHeight="1" x14ac:dyDescent="0.35">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spans="1:26" ht="12.75" customHeight="1" x14ac:dyDescent="0.35">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spans="1:26" ht="12.75" customHeight="1" x14ac:dyDescent="0.35">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spans="1:26" ht="12.75" customHeight="1" x14ac:dyDescent="0.35">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spans="1:26" ht="12.75" customHeight="1" x14ac:dyDescent="0.35">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spans="1:26" ht="12.75" customHeight="1" x14ac:dyDescent="0.35">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spans="1:26" ht="12.75" customHeight="1" x14ac:dyDescent="0.35">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spans="1:26" ht="12.75" customHeight="1" x14ac:dyDescent="0.35">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spans="1:26" ht="12.75" customHeight="1" x14ac:dyDescent="0.35">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spans="1:26" ht="12.75" customHeight="1" x14ac:dyDescent="0.35">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spans="1:26" ht="12.75" customHeight="1" x14ac:dyDescent="0.35">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spans="1:26" ht="12.75" customHeight="1" x14ac:dyDescent="0.35">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spans="1:26" ht="12.75" customHeight="1" x14ac:dyDescent="0.35">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spans="1:26" ht="12.75" customHeight="1" x14ac:dyDescent="0.35">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spans="1:26" ht="12.75" customHeight="1" x14ac:dyDescent="0.35">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spans="1:26" ht="12.75" customHeight="1" x14ac:dyDescent="0.35">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spans="1:26" ht="12.75" customHeight="1" x14ac:dyDescent="0.35">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spans="1:26" ht="12.75" customHeight="1" x14ac:dyDescent="0.35">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spans="1:26" ht="12.75" customHeight="1" x14ac:dyDescent="0.35">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spans="1:26" ht="12.75" customHeight="1" x14ac:dyDescent="0.35">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spans="1:26" ht="12.75" customHeight="1" x14ac:dyDescent="0.35">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spans="1:26" ht="12.75" customHeight="1" x14ac:dyDescent="0.35">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spans="1:26" ht="12.75" customHeight="1" x14ac:dyDescent="0.35">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spans="1:26" ht="12.75" customHeight="1" x14ac:dyDescent="0.35">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spans="1:26" ht="12.75" customHeight="1" x14ac:dyDescent="0.35">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spans="1:26" ht="12.75" customHeight="1" x14ac:dyDescent="0.35">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spans="1:26" ht="12.75" customHeight="1" x14ac:dyDescent="0.35">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spans="1:26" ht="12.75" customHeight="1" x14ac:dyDescent="0.35">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spans="1:26" ht="12.75" customHeight="1" x14ac:dyDescent="0.35">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spans="1:26" ht="12.75" customHeight="1" x14ac:dyDescent="0.35">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spans="1:26" ht="12.75" customHeight="1" x14ac:dyDescent="0.35">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spans="1:26" ht="12.75" customHeight="1" x14ac:dyDescent="0.35">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spans="1:26" ht="12.75" customHeight="1" x14ac:dyDescent="0.35">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spans="1:26" ht="12.75" customHeight="1" x14ac:dyDescent="0.35">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spans="1:26" ht="12.75" customHeight="1" x14ac:dyDescent="0.35">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spans="1:26" ht="12.75" customHeight="1" x14ac:dyDescent="0.35">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spans="1:26" ht="12.75" customHeight="1" x14ac:dyDescent="0.35">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spans="1:26" ht="12.75" customHeight="1" x14ac:dyDescent="0.35">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spans="1:26" ht="12.75" customHeight="1" x14ac:dyDescent="0.35">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spans="1:26" ht="12.75" customHeight="1" x14ac:dyDescent="0.35">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spans="1:26" ht="12.75" customHeight="1" x14ac:dyDescent="0.35">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spans="1:26" ht="12.75" customHeight="1" x14ac:dyDescent="0.35">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spans="1:26" ht="12.75" customHeight="1" x14ac:dyDescent="0.35">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spans="1:26" ht="12.75" customHeight="1" x14ac:dyDescent="0.35">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spans="1:26" ht="12.75" customHeight="1" x14ac:dyDescent="0.35">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spans="1:26" ht="12.75" customHeight="1" x14ac:dyDescent="0.35">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spans="1:26" ht="12.75" customHeight="1" x14ac:dyDescent="0.35">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spans="1:26" ht="12.75" customHeight="1" x14ac:dyDescent="0.35">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spans="1:26" ht="12.75" customHeight="1" x14ac:dyDescent="0.35">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spans="1:26" ht="12.75" customHeight="1" x14ac:dyDescent="0.35">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spans="1:26" ht="12.75" customHeight="1" x14ac:dyDescent="0.35">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spans="1:26" ht="12.75" customHeight="1" x14ac:dyDescent="0.35">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spans="1:26" ht="12.75" customHeight="1" x14ac:dyDescent="0.35">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spans="1:26" ht="12.75" customHeight="1" x14ac:dyDescent="0.35">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spans="1:26" ht="12.75" customHeight="1" x14ac:dyDescent="0.35">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spans="1:26" ht="12.75" customHeight="1" x14ac:dyDescent="0.35">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spans="1:26" ht="12.75" customHeight="1" x14ac:dyDescent="0.35">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spans="1:26" ht="12.75" customHeight="1" x14ac:dyDescent="0.35">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spans="1:26" ht="12.75" customHeight="1" x14ac:dyDescent="0.35">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spans="1:26" ht="12.75" customHeight="1" x14ac:dyDescent="0.35">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spans="1:26" ht="12.75" customHeight="1" x14ac:dyDescent="0.35">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spans="1:26" ht="12.75" customHeight="1" x14ac:dyDescent="0.35">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spans="1:26" ht="12.75" customHeight="1" x14ac:dyDescent="0.35">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spans="1:26" ht="12.75" customHeight="1" x14ac:dyDescent="0.35">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spans="1:26" ht="12.75" customHeight="1" x14ac:dyDescent="0.35">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spans="1:26" ht="12.75" customHeight="1" x14ac:dyDescent="0.35">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spans="1:26" ht="12.75" customHeight="1" x14ac:dyDescent="0.35">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spans="1:26" ht="12.75" customHeight="1" x14ac:dyDescent="0.35">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spans="1:26" ht="12.75" customHeight="1" x14ac:dyDescent="0.35">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spans="1:26" ht="12.75" customHeight="1" x14ac:dyDescent="0.35">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spans="1:26" ht="12.75" customHeight="1" x14ac:dyDescent="0.35">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spans="1:26" ht="12.75" customHeight="1" x14ac:dyDescent="0.35">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spans="1:26" ht="12.75" customHeight="1" x14ac:dyDescent="0.35">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spans="1:26" ht="12.75" customHeight="1" x14ac:dyDescent="0.35">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spans="1:26" ht="12.75" customHeight="1" x14ac:dyDescent="0.35">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spans="1:26" ht="12.75" customHeight="1" x14ac:dyDescent="0.35">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spans="1:26" ht="12.75" customHeight="1" x14ac:dyDescent="0.35">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spans="1:26" ht="12.75" customHeight="1" x14ac:dyDescent="0.35">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spans="1:26" ht="12.75" customHeight="1" x14ac:dyDescent="0.35">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spans="1:26" ht="12.75" customHeight="1" x14ac:dyDescent="0.35">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spans="1:26" ht="12.75" customHeight="1" x14ac:dyDescent="0.35">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spans="1:26" ht="12.75" customHeight="1" x14ac:dyDescent="0.35">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spans="1:26" ht="12.75" customHeight="1" x14ac:dyDescent="0.35">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spans="1:26" ht="12.75" customHeight="1" x14ac:dyDescent="0.35">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spans="1:26" ht="12.75" customHeight="1" x14ac:dyDescent="0.35">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spans="1:26" ht="12.75" customHeight="1" x14ac:dyDescent="0.35">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spans="1:26" ht="12.75" customHeight="1" x14ac:dyDescent="0.35">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spans="1:26" ht="12.75" customHeight="1" x14ac:dyDescent="0.35">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spans="1:26" ht="12.75" customHeight="1" x14ac:dyDescent="0.35">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spans="1:26" ht="12.75" customHeight="1" x14ac:dyDescent="0.35">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spans="1:26" ht="12.75" customHeight="1" x14ac:dyDescent="0.35">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spans="1:26" ht="12.75" customHeight="1" x14ac:dyDescent="0.35">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spans="1:26" ht="12.75" customHeight="1" x14ac:dyDescent="0.35">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spans="1:26" ht="12.75" customHeight="1" x14ac:dyDescent="0.35">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spans="1:26" ht="12.75" customHeight="1" x14ac:dyDescent="0.35">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spans="1:26" ht="12.75" customHeight="1" x14ac:dyDescent="0.35">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spans="1:26" ht="12.75" customHeight="1" x14ac:dyDescent="0.35">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spans="1:26" ht="12.75" customHeight="1" x14ac:dyDescent="0.35">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spans="1:26" ht="12.75" customHeight="1" x14ac:dyDescent="0.35">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spans="1:26" ht="12.75" customHeight="1" x14ac:dyDescent="0.35">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spans="1:26" ht="12.75" customHeight="1" x14ac:dyDescent="0.35">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spans="1:26" ht="12.75" customHeight="1" x14ac:dyDescent="0.35">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spans="1:26" ht="12.75" customHeight="1" x14ac:dyDescent="0.35">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spans="1:26" ht="12.75" customHeight="1" x14ac:dyDescent="0.35">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spans="1:26" ht="12.75" customHeight="1" x14ac:dyDescent="0.35">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spans="1:26" ht="12.75" customHeight="1" x14ac:dyDescent="0.35">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spans="1:26" ht="12.75" customHeight="1" x14ac:dyDescent="0.35">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spans="1:26" ht="12.75" customHeight="1" x14ac:dyDescent="0.35">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spans="1:26" ht="12.75" customHeight="1" x14ac:dyDescent="0.35">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spans="1:26" ht="12.75" customHeight="1" x14ac:dyDescent="0.35">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spans="1:26" ht="12.75" customHeight="1" x14ac:dyDescent="0.35">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spans="1:26" ht="12.75" customHeight="1" x14ac:dyDescent="0.35">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spans="1:26" ht="12.75" customHeight="1" x14ac:dyDescent="0.35">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spans="1:26" ht="12.75" customHeight="1" x14ac:dyDescent="0.35">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spans="1:26" ht="12.75" customHeight="1" x14ac:dyDescent="0.35">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spans="1:26" ht="12.75" customHeight="1" x14ac:dyDescent="0.35">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spans="1:26" ht="12.75" customHeight="1" x14ac:dyDescent="0.35">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spans="1:26" ht="12.75" customHeight="1" x14ac:dyDescent="0.35">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spans="1:26" ht="12.75" customHeight="1" x14ac:dyDescent="0.35">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spans="1:26" ht="12.75" customHeight="1" x14ac:dyDescent="0.35">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spans="1:26" ht="12.75" customHeight="1" x14ac:dyDescent="0.35">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spans="1:26" ht="12.75" customHeight="1" x14ac:dyDescent="0.35">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spans="1:26" ht="12.75" customHeight="1" x14ac:dyDescent="0.35">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spans="1:26" ht="12.75" customHeight="1" x14ac:dyDescent="0.35">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spans="1:26" ht="12.75" customHeight="1" x14ac:dyDescent="0.35">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spans="1:26" ht="12.75" customHeight="1" x14ac:dyDescent="0.35">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spans="1:26" ht="12.75" customHeight="1" x14ac:dyDescent="0.35">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spans="1:26" ht="12.75" customHeight="1" x14ac:dyDescent="0.35">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spans="1:26" ht="12.75" customHeight="1" x14ac:dyDescent="0.35">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spans="1:26" ht="12.75" customHeight="1" x14ac:dyDescent="0.35">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spans="1:26" ht="12.75" customHeight="1" x14ac:dyDescent="0.35">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spans="1:26" ht="12.75" customHeight="1" x14ac:dyDescent="0.35">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spans="1:26" ht="12.75" customHeight="1" x14ac:dyDescent="0.35">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spans="1:26" ht="12.75" customHeight="1" x14ac:dyDescent="0.35">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spans="1:26" ht="12.75" customHeight="1" x14ac:dyDescent="0.35">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spans="1:26" ht="12.75" customHeight="1" x14ac:dyDescent="0.35">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spans="1:26" ht="12.75" customHeight="1" x14ac:dyDescent="0.35">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spans="1:26" ht="12.75" customHeight="1" x14ac:dyDescent="0.35">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spans="1:26" ht="12.75" customHeight="1" x14ac:dyDescent="0.35">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spans="1:26" ht="12.75" customHeight="1" x14ac:dyDescent="0.35">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spans="1:26" ht="12.75" customHeight="1" x14ac:dyDescent="0.35">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spans="1:26" ht="12.75" customHeight="1" x14ac:dyDescent="0.35">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spans="1:26" ht="12.75" customHeight="1" x14ac:dyDescent="0.35">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spans="1:26" ht="12.75" customHeight="1" x14ac:dyDescent="0.35">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spans="1:26" ht="12.75" customHeight="1" x14ac:dyDescent="0.35">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spans="1:26" ht="12.75" customHeight="1" x14ac:dyDescent="0.35">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spans="1:26" ht="12.75" customHeight="1" x14ac:dyDescent="0.35">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spans="1:26" ht="12.75" customHeight="1" x14ac:dyDescent="0.35">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spans="1:26" ht="12.75" customHeight="1" x14ac:dyDescent="0.35">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spans="1:26" ht="12.75" customHeight="1" x14ac:dyDescent="0.35">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spans="1:26" ht="12.75" customHeight="1" x14ac:dyDescent="0.35">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spans="1:26" ht="12.75" customHeight="1" x14ac:dyDescent="0.35">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spans="1:26" ht="12.75" customHeight="1" x14ac:dyDescent="0.35">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spans="1:26" ht="12.75" customHeight="1" x14ac:dyDescent="0.35">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spans="1:26" ht="12.75" customHeight="1" x14ac:dyDescent="0.35">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spans="1:26" ht="12.75" customHeight="1" x14ac:dyDescent="0.35">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spans="1:26" ht="12.75" customHeight="1" x14ac:dyDescent="0.35">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spans="1:26" ht="12.75" customHeight="1" x14ac:dyDescent="0.35">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spans="1:26" ht="12.75" customHeight="1" x14ac:dyDescent="0.35">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spans="1:26" ht="12.75" customHeight="1" x14ac:dyDescent="0.35">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spans="1:26" ht="12.75" customHeight="1" x14ac:dyDescent="0.35">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spans="1:26" ht="12.75" customHeight="1" x14ac:dyDescent="0.35">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spans="1:26" ht="12.75" customHeight="1" x14ac:dyDescent="0.35">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spans="1:26" ht="12.75" customHeight="1" x14ac:dyDescent="0.35">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spans="1:26" ht="12.75" customHeight="1" x14ac:dyDescent="0.35">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spans="1:26" ht="12.75" customHeight="1" x14ac:dyDescent="0.35">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spans="1:26" ht="12.75" customHeight="1" x14ac:dyDescent="0.35">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spans="1:26" ht="12.75" customHeight="1" x14ac:dyDescent="0.35">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spans="1:26" ht="12.75" customHeight="1" x14ac:dyDescent="0.35">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spans="1:26" ht="12.75" customHeight="1" x14ac:dyDescent="0.35">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spans="1:26" ht="12.75" customHeight="1" x14ac:dyDescent="0.35">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spans="1:26" ht="12.75" customHeight="1" x14ac:dyDescent="0.35">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spans="1:26" ht="12.75" customHeight="1" x14ac:dyDescent="0.35">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spans="1:26" ht="12.75" customHeight="1" x14ac:dyDescent="0.35">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spans="1:26" ht="12.75" customHeight="1" x14ac:dyDescent="0.35">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spans="1:26" ht="12.75" customHeight="1" x14ac:dyDescent="0.35">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spans="1:26" ht="12.75" customHeight="1" x14ac:dyDescent="0.35">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spans="1:26" ht="12.75" customHeight="1" x14ac:dyDescent="0.35">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spans="1:26" ht="12.75" customHeight="1" x14ac:dyDescent="0.35">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spans="1:26" ht="12.75" customHeight="1" x14ac:dyDescent="0.35">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spans="1:26" ht="12.75" customHeight="1" x14ac:dyDescent="0.35">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spans="1:26" ht="12.75" customHeight="1" x14ac:dyDescent="0.35">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spans="1:26" ht="12.75" customHeight="1" x14ac:dyDescent="0.35">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spans="1:26" ht="12.75" customHeight="1" x14ac:dyDescent="0.35">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spans="1:26" ht="12.75" customHeight="1" x14ac:dyDescent="0.35">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spans="1:26" ht="12.75" customHeight="1" x14ac:dyDescent="0.35">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spans="1:26" ht="12.75" customHeight="1" x14ac:dyDescent="0.35">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spans="1:26" ht="12.75" customHeight="1" x14ac:dyDescent="0.35">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spans="1:26" ht="12.75" customHeight="1" x14ac:dyDescent="0.35">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spans="1:26" ht="12.75" customHeight="1" x14ac:dyDescent="0.35">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spans="1:26" ht="12.75" customHeight="1" x14ac:dyDescent="0.35">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spans="1:26" ht="12.75" customHeight="1" x14ac:dyDescent="0.35">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spans="1:26" ht="12.75" customHeight="1" x14ac:dyDescent="0.35">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spans="1:26" ht="12.75" customHeight="1" x14ac:dyDescent="0.35">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spans="1:26" ht="12.75" customHeight="1" x14ac:dyDescent="0.35">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spans="1:26" ht="12.75" customHeight="1" x14ac:dyDescent="0.35">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spans="1:26" ht="12.75" customHeight="1" x14ac:dyDescent="0.35">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spans="1:26" ht="12.75" customHeight="1" x14ac:dyDescent="0.35">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spans="1:26" ht="12.75" customHeight="1" x14ac:dyDescent="0.35">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spans="1:26" ht="12.75" customHeight="1" x14ac:dyDescent="0.35">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spans="1:26" ht="12.75" customHeight="1" x14ac:dyDescent="0.35">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spans="1:26" ht="12.75" customHeight="1" x14ac:dyDescent="0.35">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spans="1:26" ht="12.75" customHeight="1" x14ac:dyDescent="0.35">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spans="1:26" ht="12.75" customHeight="1" x14ac:dyDescent="0.35">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spans="1:26" ht="12.75" customHeight="1" x14ac:dyDescent="0.35">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spans="1:26" ht="12.75" customHeight="1" x14ac:dyDescent="0.35">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spans="1:26" ht="12.75" customHeight="1" x14ac:dyDescent="0.35">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spans="1:26" ht="12.75" customHeight="1" x14ac:dyDescent="0.35">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spans="1:26" ht="12.75" customHeight="1" x14ac:dyDescent="0.35">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spans="1:26" ht="12.75" customHeight="1" x14ac:dyDescent="0.35">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spans="1:26" ht="12.75" customHeight="1" x14ac:dyDescent="0.35">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spans="1:26" ht="12.75" customHeight="1" x14ac:dyDescent="0.35">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spans="1:26" ht="12.75" customHeight="1" x14ac:dyDescent="0.35">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spans="1:26" ht="12.75" customHeight="1" x14ac:dyDescent="0.35">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spans="1:26" ht="12.75" customHeight="1" x14ac:dyDescent="0.35">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spans="1:26" ht="12.75" customHeight="1" x14ac:dyDescent="0.35">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spans="1:26" ht="12.75" customHeight="1" x14ac:dyDescent="0.35">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spans="1:26" ht="12.75" customHeight="1" x14ac:dyDescent="0.35">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spans="1:26" ht="12.75" customHeight="1" x14ac:dyDescent="0.35">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spans="1:26" ht="12.75" customHeight="1" x14ac:dyDescent="0.35">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spans="1:26" ht="12.75" customHeight="1" x14ac:dyDescent="0.35">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spans="1:26" ht="12.75" customHeight="1" x14ac:dyDescent="0.35">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spans="1:26" ht="12.75" customHeight="1" x14ac:dyDescent="0.35">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spans="1:26" ht="12.75" customHeight="1" x14ac:dyDescent="0.35">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spans="1:26" ht="12.75" customHeight="1" x14ac:dyDescent="0.35">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spans="1:26" ht="12.75" customHeight="1" x14ac:dyDescent="0.35">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spans="1:26" ht="12.75" customHeight="1" x14ac:dyDescent="0.35">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spans="1:26" ht="12.75" customHeight="1" x14ac:dyDescent="0.35">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spans="1:26" ht="12.75" customHeight="1" x14ac:dyDescent="0.35">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spans="1:26" ht="12.75" customHeight="1" x14ac:dyDescent="0.35">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spans="1:26" ht="12.75" customHeight="1" x14ac:dyDescent="0.35">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spans="1:26" ht="12.75" customHeight="1" x14ac:dyDescent="0.35">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spans="1:26" ht="12.75" customHeight="1" x14ac:dyDescent="0.35">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spans="1:26" ht="12.75" customHeight="1" x14ac:dyDescent="0.35">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spans="1:26" ht="12.75" customHeight="1" x14ac:dyDescent="0.35">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spans="1:26" ht="12.75" customHeight="1" x14ac:dyDescent="0.35">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spans="1:26" ht="12.75" customHeight="1" x14ac:dyDescent="0.35">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spans="1:26" ht="12.75" customHeight="1" x14ac:dyDescent="0.35">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spans="1:26" ht="12.75" customHeight="1" x14ac:dyDescent="0.35">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spans="1:26" ht="12.75" customHeight="1" x14ac:dyDescent="0.35">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spans="1:26" ht="12.75" customHeight="1" x14ac:dyDescent="0.35">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spans="1:26" ht="12.75" customHeight="1" x14ac:dyDescent="0.35">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spans="1:26" ht="12.75" customHeight="1" x14ac:dyDescent="0.35">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spans="1:26" ht="12.75" customHeight="1" x14ac:dyDescent="0.35">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spans="1:26" ht="12.75" customHeight="1" x14ac:dyDescent="0.35">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spans="1:26" ht="12.75" customHeight="1" x14ac:dyDescent="0.35">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spans="1:26" ht="12.75" customHeight="1" x14ac:dyDescent="0.35">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spans="1:26" ht="12.75" customHeight="1" x14ac:dyDescent="0.35">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spans="1:26" ht="12.75" customHeight="1" x14ac:dyDescent="0.35">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spans="1:26" ht="12.75" customHeight="1" x14ac:dyDescent="0.35">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spans="1:26" ht="12.75" customHeight="1" x14ac:dyDescent="0.35">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spans="1:26" ht="12.75" customHeight="1" x14ac:dyDescent="0.35">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spans="1:26" ht="12.75" customHeight="1" x14ac:dyDescent="0.35">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spans="1:26" ht="12.75" customHeight="1" x14ac:dyDescent="0.35">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spans="1:26" ht="12.75" customHeight="1" x14ac:dyDescent="0.35">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spans="1:26" ht="12.75" customHeight="1" x14ac:dyDescent="0.35">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spans="1:26" ht="12.75" customHeight="1" x14ac:dyDescent="0.35">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spans="1:26" ht="12.75" customHeight="1" x14ac:dyDescent="0.35">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spans="1:26" ht="12.75" customHeight="1" x14ac:dyDescent="0.35">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spans="1:26" ht="12.75" customHeight="1" x14ac:dyDescent="0.35">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spans="1:26" ht="12.75" customHeight="1" x14ac:dyDescent="0.35">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spans="1:26" ht="12.75" customHeight="1" x14ac:dyDescent="0.35">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spans="1:26" ht="12.75" customHeight="1" x14ac:dyDescent="0.35">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spans="1:26" ht="12.75" customHeight="1" x14ac:dyDescent="0.35">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spans="1:26" ht="12.75" customHeight="1" x14ac:dyDescent="0.35">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spans="1:26" ht="12.75" customHeight="1" x14ac:dyDescent="0.35">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spans="1:26" ht="12.75" customHeight="1" x14ac:dyDescent="0.35">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spans="1:26" ht="12.75" customHeight="1" x14ac:dyDescent="0.35">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spans="1:26" ht="12.75" customHeight="1" x14ac:dyDescent="0.35">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spans="1:26" ht="12.75" customHeight="1" x14ac:dyDescent="0.35">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spans="1:26" ht="12.75" customHeight="1" x14ac:dyDescent="0.35">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spans="1:26" ht="12.75" customHeight="1" x14ac:dyDescent="0.35">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spans="1:26" ht="12.75" customHeight="1" x14ac:dyDescent="0.35">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spans="1:26" ht="12.75" customHeight="1" x14ac:dyDescent="0.35">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spans="1:26" ht="12.75" customHeight="1" x14ac:dyDescent="0.35">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spans="1:26" ht="12.75" customHeight="1" x14ac:dyDescent="0.35">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spans="1:26" ht="12.75" customHeight="1" x14ac:dyDescent="0.35">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spans="1:26" ht="12.75" customHeight="1" x14ac:dyDescent="0.35">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spans="1:26" ht="12.75" customHeight="1" x14ac:dyDescent="0.35">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spans="1:26" ht="12.75" customHeight="1" x14ac:dyDescent="0.35">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spans="1:26" ht="12.75" customHeight="1" x14ac:dyDescent="0.35">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spans="1:26" ht="12.75" customHeight="1" x14ac:dyDescent="0.35">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spans="1:26" ht="12.75" customHeight="1" x14ac:dyDescent="0.35">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spans="1:26" ht="12.75" customHeight="1" x14ac:dyDescent="0.35">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spans="1:26" ht="12.75" customHeight="1" x14ac:dyDescent="0.35">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spans="1:26" ht="12.75" customHeight="1" x14ac:dyDescent="0.35">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spans="1:26" ht="12.75" customHeight="1" x14ac:dyDescent="0.35">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spans="1:26" ht="12.75" customHeight="1" x14ac:dyDescent="0.35">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spans="1:26" ht="12.75" customHeight="1" x14ac:dyDescent="0.35">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spans="1:26" ht="12.75" customHeight="1" x14ac:dyDescent="0.35">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spans="1:26" ht="12.75" customHeight="1" x14ac:dyDescent="0.35">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spans="1:26" ht="12.75" customHeight="1" x14ac:dyDescent="0.35">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spans="1:26" ht="12.75" customHeight="1" x14ac:dyDescent="0.35">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spans="1:26" ht="12.75" customHeight="1" x14ac:dyDescent="0.35">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spans="1:26" ht="12.75" customHeight="1" x14ac:dyDescent="0.35">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spans="1:26" ht="12.75" customHeight="1" x14ac:dyDescent="0.35">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spans="1:26" ht="12.75" customHeight="1" x14ac:dyDescent="0.35">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spans="1:26" ht="12.75" customHeight="1" x14ac:dyDescent="0.35">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spans="1:26" ht="12.75" customHeight="1" x14ac:dyDescent="0.35">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spans="1:26" ht="12.75" customHeight="1" x14ac:dyDescent="0.35">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spans="1:26" ht="12.75" customHeight="1" x14ac:dyDescent="0.35">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spans="1:26" ht="12.75" customHeight="1" x14ac:dyDescent="0.35">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spans="1:26" ht="12.75" customHeight="1" x14ac:dyDescent="0.35">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spans="1:26" ht="12.75" customHeight="1" x14ac:dyDescent="0.35">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spans="1:26" ht="12.75" customHeight="1" x14ac:dyDescent="0.35">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spans="1:26" ht="12.75" customHeight="1" x14ac:dyDescent="0.35">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spans="1:26" ht="12.75" customHeight="1" x14ac:dyDescent="0.35">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spans="1:26" ht="12.75" customHeight="1" x14ac:dyDescent="0.35">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spans="1:26" ht="12.75" customHeight="1" x14ac:dyDescent="0.35">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spans="1:26" ht="12.75" customHeight="1" x14ac:dyDescent="0.35">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spans="1:26" ht="12.75" customHeight="1" x14ac:dyDescent="0.35">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spans="1:26" ht="12.75" customHeight="1" x14ac:dyDescent="0.35">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spans="1:26" ht="12.75" customHeight="1" x14ac:dyDescent="0.35">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spans="1:26" ht="12.75" customHeight="1" x14ac:dyDescent="0.35">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spans="1:26" ht="12.75" customHeight="1" x14ac:dyDescent="0.35">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spans="1:26" ht="12.75" customHeight="1" x14ac:dyDescent="0.35">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spans="1:26" ht="12.75" customHeight="1" x14ac:dyDescent="0.35">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spans="1:26" ht="12.75" customHeight="1" x14ac:dyDescent="0.35">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spans="1:26" ht="12.75" customHeight="1" x14ac:dyDescent="0.35">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spans="1:26" ht="12.75" customHeight="1" x14ac:dyDescent="0.35">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spans="1:26" ht="12.75" customHeight="1" x14ac:dyDescent="0.35">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spans="1:26" ht="12.75" customHeight="1" x14ac:dyDescent="0.35">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spans="1:26" ht="12.75" customHeight="1" x14ac:dyDescent="0.35">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spans="1:26" ht="12.75" customHeight="1" x14ac:dyDescent="0.35">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spans="1:26" ht="12.75" customHeight="1" x14ac:dyDescent="0.35">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spans="1:26" ht="12.75" customHeight="1" x14ac:dyDescent="0.35">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spans="1:26" ht="12.75" customHeight="1" x14ac:dyDescent="0.35">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spans="1:26" ht="12.75" customHeight="1" x14ac:dyDescent="0.35">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spans="1:26" ht="12.75" customHeight="1" x14ac:dyDescent="0.35">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spans="1:26" ht="12.75" customHeight="1" x14ac:dyDescent="0.35">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spans="1:26" ht="12.75" customHeight="1" x14ac:dyDescent="0.35">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spans="1:26" ht="12.75" customHeight="1" x14ac:dyDescent="0.35">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spans="1:26" ht="12.75" customHeight="1" x14ac:dyDescent="0.35">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spans="1:26" ht="12.75" customHeight="1" x14ac:dyDescent="0.35">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spans="1:26" ht="12.75" customHeight="1" x14ac:dyDescent="0.35">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spans="1:26" ht="12.75" customHeight="1" x14ac:dyDescent="0.35">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spans="1:26" ht="12.75" customHeight="1" x14ac:dyDescent="0.35">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spans="1:26" ht="12.75" customHeight="1" x14ac:dyDescent="0.35">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spans="1:26" ht="12.75" customHeight="1" x14ac:dyDescent="0.35">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spans="1:26" ht="12.75" customHeight="1" x14ac:dyDescent="0.35">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spans="1:26" ht="12.75" customHeight="1" x14ac:dyDescent="0.35">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spans="1:26" ht="12.75" customHeight="1" x14ac:dyDescent="0.35">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spans="1:26" ht="12.75" customHeight="1" x14ac:dyDescent="0.35">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spans="1:26" ht="12.75" customHeight="1" x14ac:dyDescent="0.35">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spans="1:26" ht="12.75" customHeight="1" x14ac:dyDescent="0.35">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spans="1:26" ht="12.75" customHeight="1" x14ac:dyDescent="0.35">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spans="1:26" ht="12.75" customHeight="1" x14ac:dyDescent="0.35">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spans="1:26" ht="12.75" customHeight="1" x14ac:dyDescent="0.35">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spans="1:26" ht="12.75" customHeight="1" x14ac:dyDescent="0.35">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spans="1:26" ht="12.75" customHeight="1" x14ac:dyDescent="0.35">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spans="1:26" ht="12.75" customHeight="1" x14ac:dyDescent="0.35">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spans="1:26" ht="12.75" customHeight="1" x14ac:dyDescent="0.35">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spans="1:26" ht="12.75" customHeight="1" x14ac:dyDescent="0.35">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spans="1:26" ht="12.75" customHeight="1" x14ac:dyDescent="0.35">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spans="1:26" ht="12.75" customHeight="1" x14ac:dyDescent="0.35">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spans="1:26" ht="12.75" customHeight="1" x14ac:dyDescent="0.35">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spans="1:26" ht="12.75" customHeight="1" x14ac:dyDescent="0.35">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spans="1:26" ht="12.75" customHeight="1" x14ac:dyDescent="0.35">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spans="1:26" ht="12.75" customHeight="1" x14ac:dyDescent="0.35">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spans="1:26" ht="12.75" customHeight="1" x14ac:dyDescent="0.35">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spans="1:26" ht="12.75" customHeight="1" x14ac:dyDescent="0.35">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spans="1:26" ht="12.75" customHeight="1" x14ac:dyDescent="0.35">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spans="1:26" ht="12.75" customHeight="1" x14ac:dyDescent="0.35">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spans="1:26" ht="12.75" customHeight="1" x14ac:dyDescent="0.35">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spans="1:26" ht="12.75" customHeight="1" x14ac:dyDescent="0.35">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spans="1:26" ht="12.75" customHeight="1" x14ac:dyDescent="0.35">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spans="1:26" ht="12.75" customHeight="1" x14ac:dyDescent="0.35">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spans="1:26" ht="12.75" customHeight="1" x14ac:dyDescent="0.35">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spans="1:26" ht="12.75" customHeight="1" x14ac:dyDescent="0.35">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spans="1:26" ht="12.75" customHeight="1" x14ac:dyDescent="0.35">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spans="1:26" ht="12.75" customHeight="1" x14ac:dyDescent="0.35">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spans="1:26" ht="12.75" customHeight="1" x14ac:dyDescent="0.35">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spans="1:26" ht="12.75" customHeight="1" x14ac:dyDescent="0.35">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spans="1:26" ht="12.75" customHeight="1" x14ac:dyDescent="0.35">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spans="1:26" ht="12.75" customHeight="1" x14ac:dyDescent="0.35">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spans="1:26" ht="12.75" customHeight="1" x14ac:dyDescent="0.35">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spans="1:26" ht="12.75" customHeight="1" x14ac:dyDescent="0.35">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spans="1:26" ht="12.75" customHeight="1" x14ac:dyDescent="0.35">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spans="1:26" ht="12.75" customHeight="1" x14ac:dyDescent="0.35">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spans="1:26" ht="12.75" customHeight="1" x14ac:dyDescent="0.35">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spans="1:26" ht="12.75" customHeight="1" x14ac:dyDescent="0.35">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spans="1:26" ht="12.75" customHeight="1" x14ac:dyDescent="0.35">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spans="1:26" ht="12.75" customHeight="1" x14ac:dyDescent="0.35">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spans="1:26" ht="12.75" customHeight="1" x14ac:dyDescent="0.35">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spans="1:26" ht="12.75" customHeight="1" x14ac:dyDescent="0.35">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spans="1:26" ht="12.75" customHeight="1" x14ac:dyDescent="0.35">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spans="1:26" ht="12.75" customHeight="1" x14ac:dyDescent="0.35">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spans="1:26" ht="12.75" customHeight="1" x14ac:dyDescent="0.35">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spans="1:26" ht="12.75" customHeight="1" x14ac:dyDescent="0.35">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spans="1:26" ht="12.75" customHeight="1" x14ac:dyDescent="0.35">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spans="1:26" ht="12.75" customHeight="1" x14ac:dyDescent="0.35">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spans="1:26" ht="12.75" customHeight="1" x14ac:dyDescent="0.35">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spans="1:26" ht="12.75" customHeight="1" x14ac:dyDescent="0.35">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spans="1:26" ht="12.75" customHeight="1" x14ac:dyDescent="0.35">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spans="1:26" ht="12.75" customHeight="1" x14ac:dyDescent="0.35">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spans="1:26" ht="12.75" customHeight="1" x14ac:dyDescent="0.35">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spans="1:26" ht="12.75" customHeight="1" x14ac:dyDescent="0.35">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spans="1:26" ht="12.75" customHeight="1" x14ac:dyDescent="0.35">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spans="1:26" ht="12.75" customHeight="1" x14ac:dyDescent="0.35">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spans="1:26" ht="12.75" customHeight="1" x14ac:dyDescent="0.35">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spans="1:26" ht="12.75" customHeight="1" x14ac:dyDescent="0.35">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spans="1:26" ht="12.75" customHeight="1" x14ac:dyDescent="0.35">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spans="1:26" ht="12.75" customHeight="1" x14ac:dyDescent="0.35">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spans="1:26" ht="12.75" customHeight="1" x14ac:dyDescent="0.35">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spans="1:26" ht="12.75" customHeight="1" x14ac:dyDescent="0.35">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spans="1:26" ht="12.75" customHeight="1" x14ac:dyDescent="0.35">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spans="1:26" ht="12.75" customHeight="1" x14ac:dyDescent="0.35">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spans="1:26" ht="12.75" customHeight="1" x14ac:dyDescent="0.35">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spans="1:26" ht="12.75" customHeight="1" x14ac:dyDescent="0.35">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spans="1:26" ht="12.75" customHeight="1" x14ac:dyDescent="0.35">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spans="1:26" ht="12.75" customHeight="1" x14ac:dyDescent="0.35">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spans="1:26" ht="12.75" customHeight="1" x14ac:dyDescent="0.35">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spans="1:26" ht="12.75" customHeight="1" x14ac:dyDescent="0.35">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spans="1:26" ht="12.75" customHeight="1" x14ac:dyDescent="0.35">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spans="1:26" ht="12.75" customHeight="1" x14ac:dyDescent="0.35">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spans="1:26" ht="12.75" customHeight="1" x14ac:dyDescent="0.35">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spans="1:26" ht="12.75" customHeight="1" x14ac:dyDescent="0.35">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spans="1:26" ht="12.75" customHeight="1" x14ac:dyDescent="0.35">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spans="1:26" ht="12.75" customHeight="1" x14ac:dyDescent="0.35">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spans="1:26" ht="12.75" customHeight="1" x14ac:dyDescent="0.35">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spans="1:26" ht="12.75" customHeight="1" x14ac:dyDescent="0.35">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spans="1:26" ht="12.75" customHeight="1" x14ac:dyDescent="0.35">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spans="1:26" ht="12.75" customHeight="1" x14ac:dyDescent="0.35">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spans="1:26" ht="12.75" customHeight="1" x14ac:dyDescent="0.35">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spans="1:26" ht="12.75" customHeight="1" x14ac:dyDescent="0.35">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spans="1:26" ht="12.75" customHeight="1" x14ac:dyDescent="0.35">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spans="1:26" ht="12.75" customHeight="1" x14ac:dyDescent="0.35">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spans="1:26" ht="12.75" customHeight="1" x14ac:dyDescent="0.35">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spans="1:26" ht="12.75" customHeight="1" x14ac:dyDescent="0.35">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spans="1:26" ht="12.75" customHeight="1" x14ac:dyDescent="0.35">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spans="1:26" ht="12.75" customHeight="1" x14ac:dyDescent="0.35">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spans="1:26" ht="12.75" customHeight="1" x14ac:dyDescent="0.35">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spans="1:26" ht="12.75" customHeight="1" x14ac:dyDescent="0.35">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spans="1:26" ht="12.75" customHeight="1" x14ac:dyDescent="0.35">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spans="1:26" ht="12.75" customHeight="1" x14ac:dyDescent="0.35">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spans="1:26" ht="12.75" customHeight="1" x14ac:dyDescent="0.35">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spans="1:26" ht="12.75" customHeight="1" x14ac:dyDescent="0.35">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spans="1:26" ht="12.75" customHeight="1" x14ac:dyDescent="0.35">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spans="1:26" ht="12.75" customHeight="1" x14ac:dyDescent="0.35">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spans="1:26" ht="12.75" customHeight="1" x14ac:dyDescent="0.35">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spans="1:26" ht="12.75" customHeight="1" x14ac:dyDescent="0.35">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spans="1:26" ht="12.75" customHeight="1" x14ac:dyDescent="0.35">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spans="1:26" ht="12.75" customHeight="1" x14ac:dyDescent="0.35">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spans="1:26" ht="12.75" customHeight="1" x14ac:dyDescent="0.35">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spans="1:26" ht="12.75" customHeight="1" x14ac:dyDescent="0.35">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spans="1:26" ht="12.75" customHeight="1" x14ac:dyDescent="0.35">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spans="1:26" ht="12.75" customHeight="1" x14ac:dyDescent="0.35">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spans="1:26" ht="12.75" customHeight="1" x14ac:dyDescent="0.35">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spans="1:26" ht="12.75" customHeight="1" x14ac:dyDescent="0.35">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spans="1:26" ht="12.75" customHeight="1" x14ac:dyDescent="0.35">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spans="1:26" ht="12.75" customHeight="1" x14ac:dyDescent="0.35">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spans="1:26" ht="12.75" customHeight="1" x14ac:dyDescent="0.35">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spans="1:26" ht="12.75" customHeight="1" x14ac:dyDescent="0.35">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spans="1:26" ht="12.75" customHeight="1" x14ac:dyDescent="0.35">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spans="1:26" ht="12.75" customHeight="1" x14ac:dyDescent="0.35">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spans="1:26" ht="12.75" customHeight="1" x14ac:dyDescent="0.35">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spans="1:26" ht="12.75" customHeight="1" x14ac:dyDescent="0.35">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spans="1:26" ht="12.75" customHeight="1" x14ac:dyDescent="0.35">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spans="1:26" ht="12.75" customHeight="1" x14ac:dyDescent="0.35">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spans="1:26" ht="12.75" customHeight="1" x14ac:dyDescent="0.35">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spans="1:26" ht="12.75" customHeight="1" x14ac:dyDescent="0.35">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spans="1:26" ht="12.75" customHeight="1" x14ac:dyDescent="0.35">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spans="1:26" ht="12.75" customHeight="1" x14ac:dyDescent="0.35">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spans="1:26" ht="12.75" customHeight="1" x14ac:dyDescent="0.35">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spans="1:26" ht="12.75" customHeight="1" x14ac:dyDescent="0.35">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spans="1:26" ht="12.75" customHeight="1" x14ac:dyDescent="0.35">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spans="1:26" ht="12.75" customHeight="1" x14ac:dyDescent="0.35">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spans="1:26" ht="12.75" customHeight="1" x14ac:dyDescent="0.35">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spans="1:26" ht="12.75" customHeight="1" x14ac:dyDescent="0.35">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spans="1:26" ht="12.75" customHeight="1" x14ac:dyDescent="0.35">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spans="1:26" ht="12.75" customHeight="1" x14ac:dyDescent="0.35">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spans="1:26" ht="12.75" customHeight="1" x14ac:dyDescent="0.35">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spans="1:26" ht="12.75" customHeight="1" x14ac:dyDescent="0.35">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spans="1:26" ht="12.75" customHeight="1" x14ac:dyDescent="0.35">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spans="1:26" ht="12.75" customHeight="1" x14ac:dyDescent="0.35">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spans="1:26" ht="12.75" customHeight="1" x14ac:dyDescent="0.35">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spans="1:26" ht="12.75" customHeight="1" x14ac:dyDescent="0.35">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spans="1:26" ht="12.75" customHeight="1" x14ac:dyDescent="0.35">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spans="1:26" ht="12.75" customHeight="1" x14ac:dyDescent="0.35">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spans="1:26" ht="12.75" customHeight="1" x14ac:dyDescent="0.35">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spans="1:26" ht="12.75" customHeight="1" x14ac:dyDescent="0.35">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spans="1:26" ht="12.75" customHeight="1" x14ac:dyDescent="0.35">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spans="1:26" ht="12.75" customHeight="1" x14ac:dyDescent="0.35">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spans="1:26" ht="12.75" customHeight="1" x14ac:dyDescent="0.35">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spans="1:26" ht="12.75" customHeight="1" x14ac:dyDescent="0.35">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spans="1:26" ht="12.75" customHeight="1" x14ac:dyDescent="0.35">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spans="1:26" ht="12.75" customHeight="1" x14ac:dyDescent="0.35">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spans="1:26" ht="12.75" customHeight="1" x14ac:dyDescent="0.35">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spans="1:26" ht="12.75" customHeight="1" x14ac:dyDescent="0.35">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spans="1:26" ht="12.75" customHeight="1" x14ac:dyDescent="0.35">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spans="1:26" ht="12.75" customHeight="1" x14ac:dyDescent="0.35">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spans="1:26" ht="12.75" customHeight="1" x14ac:dyDescent="0.35">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spans="1:26" ht="12.75" customHeight="1" x14ac:dyDescent="0.35">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spans="1:26" ht="12.75" customHeight="1" x14ac:dyDescent="0.35">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spans="1:26" ht="12.75" customHeight="1" x14ac:dyDescent="0.35">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spans="1:26" ht="12.75" customHeight="1" x14ac:dyDescent="0.35">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spans="1:26" ht="12.75" customHeight="1" x14ac:dyDescent="0.35">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spans="1:26" ht="12.75" customHeight="1" x14ac:dyDescent="0.35">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spans="1:26" ht="12.75" customHeight="1" x14ac:dyDescent="0.35">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spans="1:26" ht="12.75" customHeight="1" x14ac:dyDescent="0.35">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spans="1:26" ht="12.75" customHeight="1" x14ac:dyDescent="0.35">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spans="1:26" ht="12.75" customHeight="1" x14ac:dyDescent="0.35">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spans="1:26" ht="12.75" customHeight="1" x14ac:dyDescent="0.35">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spans="1:26" ht="12.75" customHeight="1" x14ac:dyDescent="0.35">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spans="1:26" ht="12.75" customHeight="1" x14ac:dyDescent="0.35">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spans="1:26" ht="12.75" customHeight="1" x14ac:dyDescent="0.35">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spans="1:26" ht="12.75" customHeight="1" x14ac:dyDescent="0.35">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spans="1:26" ht="12.75" customHeight="1" x14ac:dyDescent="0.35">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spans="1:26" ht="12.75" customHeight="1" x14ac:dyDescent="0.35">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spans="1:26" ht="12.75" customHeight="1" x14ac:dyDescent="0.35">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spans="1:26" ht="12.75" customHeight="1" x14ac:dyDescent="0.35">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spans="1:26" ht="12.75" customHeight="1" x14ac:dyDescent="0.35">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spans="1:26" ht="12.75" customHeight="1" x14ac:dyDescent="0.35">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spans="1:26" ht="12.75" customHeight="1" x14ac:dyDescent="0.35">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spans="1:26" ht="12.75" customHeight="1" x14ac:dyDescent="0.35">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spans="1:26" ht="12.75" customHeight="1" x14ac:dyDescent="0.35">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spans="1:26" ht="12.75" customHeight="1" x14ac:dyDescent="0.35">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spans="1:26" ht="12.75" customHeight="1" x14ac:dyDescent="0.35">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spans="1:26" ht="12.75" customHeight="1" x14ac:dyDescent="0.35">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spans="1:26" ht="12.75" customHeight="1" x14ac:dyDescent="0.35">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spans="1:26" ht="12.75" customHeight="1" x14ac:dyDescent="0.35">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spans="1:26" ht="12.75" customHeight="1" x14ac:dyDescent="0.35">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spans="1:26" ht="12.75" customHeight="1" x14ac:dyDescent="0.35">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spans="1:26" ht="12.75" customHeight="1" x14ac:dyDescent="0.35">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spans="1:26" ht="12.75" customHeight="1" x14ac:dyDescent="0.35">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spans="1:26" ht="12.75" customHeight="1" x14ac:dyDescent="0.35">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spans="1:26" ht="12.75" customHeight="1" x14ac:dyDescent="0.35">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spans="1:26" ht="12.75" customHeight="1" x14ac:dyDescent="0.35">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spans="1:26" ht="12.75" customHeight="1" x14ac:dyDescent="0.35">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spans="1:26" ht="12.75" customHeight="1" x14ac:dyDescent="0.35">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spans="1:26" ht="12.75" customHeight="1" x14ac:dyDescent="0.35">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spans="1:26" ht="12.75" customHeight="1" x14ac:dyDescent="0.35">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spans="1:26" ht="12.75" customHeight="1" x14ac:dyDescent="0.35">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spans="1:26" ht="12.75" customHeight="1" x14ac:dyDescent="0.35">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spans="1:26" ht="12.75" customHeight="1" x14ac:dyDescent="0.35">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spans="1:26" ht="12.75" customHeight="1" x14ac:dyDescent="0.35">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spans="1:26" ht="12.75" customHeight="1" x14ac:dyDescent="0.35">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spans="1:26" ht="12.75" customHeight="1" x14ac:dyDescent="0.35">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spans="1:26" ht="12.75" customHeight="1" x14ac:dyDescent="0.35">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spans="1:26" ht="12.75" customHeight="1" x14ac:dyDescent="0.35">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spans="1:26" ht="12.75" customHeight="1" x14ac:dyDescent="0.35">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spans="1:26" ht="12.75" customHeight="1" x14ac:dyDescent="0.35">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spans="1:26" ht="12.75" customHeight="1" x14ac:dyDescent="0.35">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spans="1:26" ht="12.75" customHeight="1" x14ac:dyDescent="0.35">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spans="1:26" ht="12.75" customHeight="1" x14ac:dyDescent="0.35">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spans="1:26" ht="12.75" customHeight="1" x14ac:dyDescent="0.35">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spans="1:26" ht="12.75" customHeight="1" x14ac:dyDescent="0.35">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spans="1:26" ht="12.75" customHeight="1" x14ac:dyDescent="0.35">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spans="1:26" ht="12.75" customHeight="1" x14ac:dyDescent="0.35">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spans="1:26" ht="12.75" customHeight="1" x14ac:dyDescent="0.35">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spans="1:26" ht="12.75" customHeight="1" x14ac:dyDescent="0.35">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spans="1:26" ht="12.75" customHeight="1" x14ac:dyDescent="0.35">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spans="1:26" ht="12.75" customHeight="1" x14ac:dyDescent="0.35">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spans="1:26" ht="12.75" customHeight="1" x14ac:dyDescent="0.35">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spans="1:26" ht="12.75" customHeight="1" x14ac:dyDescent="0.35">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spans="1:26" ht="12.75" customHeight="1" x14ac:dyDescent="0.35">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spans="1:26" ht="12.75" customHeight="1" x14ac:dyDescent="0.35">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spans="1:26" ht="12.75" customHeight="1" x14ac:dyDescent="0.35">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spans="1:26" ht="12.75" customHeight="1" x14ac:dyDescent="0.35">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spans="1:26" ht="12.75" customHeight="1" x14ac:dyDescent="0.35">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spans="1:26" ht="12.75" customHeight="1" x14ac:dyDescent="0.35">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spans="1:26" ht="12.75" customHeight="1" x14ac:dyDescent="0.35">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spans="1:26" ht="12.75" customHeight="1" x14ac:dyDescent="0.35">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spans="1:26" ht="12.75" customHeight="1" x14ac:dyDescent="0.35">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spans="1:26" ht="12.75" customHeight="1" x14ac:dyDescent="0.35">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spans="1:26" ht="12.75" customHeight="1" x14ac:dyDescent="0.35">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spans="1:26" ht="12.75" customHeight="1" x14ac:dyDescent="0.35">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spans="1:26" ht="12.75" customHeight="1" x14ac:dyDescent="0.35">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spans="1:26" ht="12.75" customHeight="1" x14ac:dyDescent="0.35">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spans="1:26" ht="12.75" customHeight="1" x14ac:dyDescent="0.35">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spans="1:26" ht="12.75" customHeight="1" x14ac:dyDescent="0.35">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spans="1:26" ht="12.75" customHeight="1" x14ac:dyDescent="0.35">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spans="1:26" ht="12.75" customHeight="1" x14ac:dyDescent="0.35">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spans="1:26" ht="12.75" customHeight="1" x14ac:dyDescent="0.35">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spans="1:26" ht="12.75" customHeight="1" x14ac:dyDescent="0.35">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spans="1:26" ht="12.75" customHeight="1" x14ac:dyDescent="0.35">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spans="1:26" ht="12.75" customHeight="1" x14ac:dyDescent="0.35">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spans="1:26" ht="12.75" customHeight="1" x14ac:dyDescent="0.35">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spans="1:26" ht="12.75" customHeight="1" x14ac:dyDescent="0.35">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spans="1:26" ht="12.75" customHeight="1" x14ac:dyDescent="0.35">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spans="1:26" ht="12.75" customHeight="1" x14ac:dyDescent="0.35">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spans="1:26" ht="12.75" customHeight="1" x14ac:dyDescent="0.35">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spans="1:26" ht="12.75" customHeight="1" x14ac:dyDescent="0.35">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spans="1:26" ht="12.75" customHeight="1" x14ac:dyDescent="0.35">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spans="1:26" ht="12.75" customHeight="1" x14ac:dyDescent="0.35">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spans="1:26" ht="12.75" customHeight="1" x14ac:dyDescent="0.35">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spans="1:26" ht="12.75" customHeight="1" x14ac:dyDescent="0.35">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spans="1:26" ht="12.75" customHeight="1" x14ac:dyDescent="0.35">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spans="1:26" ht="12.75" customHeight="1" x14ac:dyDescent="0.35">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spans="1:26" ht="12.75" customHeight="1" x14ac:dyDescent="0.35">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spans="1:26" ht="12.75" customHeight="1" x14ac:dyDescent="0.35">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spans="1:26" ht="12.75" customHeight="1" x14ac:dyDescent="0.35">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spans="1:26" ht="12.75" customHeight="1" x14ac:dyDescent="0.35">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spans="1:26" ht="12.75" customHeight="1" x14ac:dyDescent="0.35">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spans="1:26" ht="12.75" customHeight="1" x14ac:dyDescent="0.35">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spans="1:26" ht="12.75" customHeight="1" x14ac:dyDescent="0.35">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spans="1:26" ht="12.75" customHeight="1" x14ac:dyDescent="0.35">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spans="1:26" ht="12.75" customHeight="1" x14ac:dyDescent="0.35">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spans="1:26" ht="12.75" customHeight="1" x14ac:dyDescent="0.35">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spans="1:26" ht="12.75" customHeight="1" x14ac:dyDescent="0.35">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spans="1:26" ht="12.75" customHeight="1" x14ac:dyDescent="0.35">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spans="1:26" ht="12.75" customHeight="1" x14ac:dyDescent="0.35">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spans="1:26" ht="12.75" customHeight="1" x14ac:dyDescent="0.35">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spans="1:26" ht="12.75" customHeight="1" x14ac:dyDescent="0.35">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spans="1:26" ht="12.75" customHeight="1" x14ac:dyDescent="0.35">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spans="1:26" ht="12.75" customHeight="1" x14ac:dyDescent="0.35">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spans="1:26" ht="12.75" customHeight="1" x14ac:dyDescent="0.35">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spans="1:26" ht="12.75" customHeight="1" x14ac:dyDescent="0.35">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spans="1:26" ht="12.75" customHeight="1" x14ac:dyDescent="0.35">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spans="1:26" ht="12.75" customHeight="1" x14ac:dyDescent="0.35">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spans="1:26" ht="12.75" customHeight="1" x14ac:dyDescent="0.35">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spans="1:26" ht="12.75" customHeight="1" x14ac:dyDescent="0.35">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spans="1:26" ht="12.75" customHeight="1" x14ac:dyDescent="0.35">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spans="1:26" ht="12.75" customHeight="1" x14ac:dyDescent="0.35">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spans="1:26" ht="12.75" customHeight="1" x14ac:dyDescent="0.35">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spans="1:26" ht="12.75" customHeight="1" x14ac:dyDescent="0.35">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spans="1:26" ht="12.75" customHeight="1" x14ac:dyDescent="0.35">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spans="1:26" ht="12.75" customHeight="1" x14ac:dyDescent="0.35">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spans="1:26" ht="12.75" customHeight="1" x14ac:dyDescent="0.35">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spans="1:26" ht="12.75" customHeight="1" x14ac:dyDescent="0.35">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spans="1:26" ht="12.75" customHeight="1" x14ac:dyDescent="0.35">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spans="1:26" ht="12.75" customHeight="1" x14ac:dyDescent="0.35">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spans="1:26" ht="12.75" customHeight="1" x14ac:dyDescent="0.35">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spans="1:26" ht="12.75" customHeight="1" x14ac:dyDescent="0.35">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spans="1:26" ht="12.75" customHeight="1" x14ac:dyDescent="0.35">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spans="1:26" ht="12.75" customHeight="1" x14ac:dyDescent="0.35">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spans="1:26" ht="12.75" customHeight="1" x14ac:dyDescent="0.35">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spans="1:26" ht="12.75" customHeight="1" x14ac:dyDescent="0.35">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spans="1:26" ht="12.75" customHeight="1" x14ac:dyDescent="0.35">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spans="1:26" ht="12.75" customHeight="1" x14ac:dyDescent="0.35">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spans="1:26" ht="12.75" customHeight="1" x14ac:dyDescent="0.35">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spans="1:26" ht="12.75" customHeight="1" x14ac:dyDescent="0.35">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spans="1:26" ht="12.75" customHeight="1" x14ac:dyDescent="0.35">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spans="1:26" ht="12.75" customHeight="1" x14ac:dyDescent="0.35">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spans="1:26" ht="12.75" customHeight="1" x14ac:dyDescent="0.35">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spans="1:26" ht="12.75" customHeight="1" x14ac:dyDescent="0.35">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spans="1:26" ht="12.75" customHeight="1" x14ac:dyDescent="0.35">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spans="1:26" ht="12.75" customHeight="1" x14ac:dyDescent="0.35">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spans="1:26" ht="12.75" customHeight="1" x14ac:dyDescent="0.35">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spans="1:26" ht="12.75" customHeight="1" x14ac:dyDescent="0.35">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spans="1:26" ht="12.75" customHeight="1" x14ac:dyDescent="0.35">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spans="1:26" ht="12.75" customHeight="1" x14ac:dyDescent="0.35">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spans="1:26" ht="12.75" customHeight="1" x14ac:dyDescent="0.35">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spans="1:26" ht="12.75" customHeight="1" x14ac:dyDescent="0.35">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spans="1:26" ht="12.75" customHeight="1" x14ac:dyDescent="0.35">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spans="1:26" ht="12.75" customHeight="1" x14ac:dyDescent="0.35">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spans="1:26" ht="12.75" customHeight="1" x14ac:dyDescent="0.35">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spans="1:26" ht="12.75" customHeight="1" x14ac:dyDescent="0.35">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spans="1:26" ht="12.75" customHeight="1" x14ac:dyDescent="0.35">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spans="1:26" ht="12.75" customHeight="1" x14ac:dyDescent="0.35">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spans="1:26" ht="12.75" customHeight="1" x14ac:dyDescent="0.35">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spans="1:26" ht="12.75" customHeight="1" x14ac:dyDescent="0.35">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spans="1:26" ht="12.75" customHeight="1" x14ac:dyDescent="0.35">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spans="1:26" ht="12.75" customHeight="1" x14ac:dyDescent="0.35">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spans="1:26" ht="12.75" customHeight="1" x14ac:dyDescent="0.35">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spans="1:26" ht="12.75" customHeight="1" x14ac:dyDescent="0.35">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spans="1:26" ht="12.75" customHeight="1" x14ac:dyDescent="0.35">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spans="1:26" ht="12.75" customHeight="1" x14ac:dyDescent="0.35">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spans="1:26" ht="12.75" customHeight="1" x14ac:dyDescent="0.35">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spans="1:26" ht="12.75" customHeight="1" x14ac:dyDescent="0.35">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spans="1:26" ht="12.75" customHeight="1" x14ac:dyDescent="0.35">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spans="1:26" ht="12.75" customHeight="1" x14ac:dyDescent="0.35">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spans="1:26" ht="12.75" customHeight="1" x14ac:dyDescent="0.35">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spans="1:26" ht="12.75" customHeight="1" x14ac:dyDescent="0.35">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spans="1:26" ht="12.75" customHeight="1" x14ac:dyDescent="0.35">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spans="1:26" ht="12.75" customHeight="1" x14ac:dyDescent="0.35">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spans="1:26" ht="12.75" customHeight="1" x14ac:dyDescent="0.35">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spans="1:26" ht="12.75" customHeight="1" x14ac:dyDescent="0.35">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spans="1:26" ht="12.75" customHeight="1" x14ac:dyDescent="0.35">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spans="1:26" ht="12.75" customHeight="1" x14ac:dyDescent="0.35">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spans="1:26" ht="12.75" customHeight="1" x14ac:dyDescent="0.35">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spans="1:26" ht="12.75" customHeight="1" x14ac:dyDescent="0.35">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spans="1:26" ht="12.75" customHeight="1" x14ac:dyDescent="0.35">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spans="1:26" ht="12.75" customHeight="1" x14ac:dyDescent="0.35">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spans="1:26" ht="12.75" customHeight="1" x14ac:dyDescent="0.35">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spans="1:26" ht="12.75" customHeight="1" x14ac:dyDescent="0.35">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spans="1:26" ht="12.75" customHeight="1" x14ac:dyDescent="0.35">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spans="1:26" ht="12.75" customHeight="1" x14ac:dyDescent="0.35">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spans="1:26" ht="12.75" customHeight="1" x14ac:dyDescent="0.35">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spans="1:26" ht="12.75" customHeight="1" x14ac:dyDescent="0.35">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spans="1:26" ht="12.75" customHeight="1" x14ac:dyDescent="0.35">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spans="1:26" ht="12.75" customHeight="1" x14ac:dyDescent="0.35">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spans="1:26" ht="12.75" customHeight="1" x14ac:dyDescent="0.35">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spans="1:26" ht="12.75" customHeight="1" x14ac:dyDescent="0.35">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spans="1:26" ht="12.75" customHeight="1" x14ac:dyDescent="0.35">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spans="1:26" ht="12.75" customHeight="1" x14ac:dyDescent="0.35">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spans="1:26" ht="12.75" customHeight="1" x14ac:dyDescent="0.35">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spans="1:26" ht="12.75" customHeight="1" x14ac:dyDescent="0.35">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spans="1:26" ht="12.75" customHeight="1" x14ac:dyDescent="0.35">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spans="1:26" ht="12.75" customHeight="1" x14ac:dyDescent="0.35">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spans="1:26" ht="12.75" customHeight="1" x14ac:dyDescent="0.35">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spans="1:26" ht="12.75" customHeight="1" x14ac:dyDescent="0.35">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spans="1:26" ht="12.75" customHeight="1" x14ac:dyDescent="0.35">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spans="1:26" ht="12.75" customHeight="1" x14ac:dyDescent="0.35">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spans="1:26" ht="12.75" customHeight="1" x14ac:dyDescent="0.35">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spans="1:26" ht="12.75" customHeight="1" x14ac:dyDescent="0.35">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spans="1:26" ht="12.75" customHeight="1" x14ac:dyDescent="0.35">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spans="1:26" ht="12.75" customHeight="1" x14ac:dyDescent="0.35">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spans="1:26" ht="12.75" customHeight="1" x14ac:dyDescent="0.35">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spans="1:26" ht="12.75" customHeight="1" x14ac:dyDescent="0.35">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spans="1:26" ht="12.75" customHeight="1" x14ac:dyDescent="0.35">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spans="1:26" ht="12.75" customHeight="1" x14ac:dyDescent="0.35">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spans="1:26" ht="12.75" customHeight="1" x14ac:dyDescent="0.35">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spans="1:26" ht="12.75" customHeight="1" x14ac:dyDescent="0.35">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spans="1:26" ht="12.75" customHeight="1" x14ac:dyDescent="0.35">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spans="1:26" ht="12.75" customHeight="1" x14ac:dyDescent="0.35">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spans="1:26" ht="12.75" customHeight="1" x14ac:dyDescent="0.35">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spans="1:26" ht="12.75" customHeight="1" x14ac:dyDescent="0.35">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spans="1:26" ht="12.75" customHeight="1" x14ac:dyDescent="0.35">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spans="1:26" ht="12.75" customHeight="1" x14ac:dyDescent="0.35">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spans="1:26" ht="12.75" customHeight="1" x14ac:dyDescent="0.35">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spans="1:26" ht="12.75" customHeight="1" x14ac:dyDescent="0.35">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spans="1:26" ht="12.75" customHeight="1" x14ac:dyDescent="0.35">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spans="1:26" ht="12.75" customHeight="1" x14ac:dyDescent="0.35">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spans="1:26" ht="12.75" customHeight="1" x14ac:dyDescent="0.35">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spans="1:26" ht="12.75" customHeight="1" x14ac:dyDescent="0.35">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spans="1:26" ht="12.75" customHeight="1" x14ac:dyDescent="0.35">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spans="1:26" ht="12.75" customHeight="1" x14ac:dyDescent="0.35">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spans="1:26" ht="12.75" customHeight="1" x14ac:dyDescent="0.35">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spans="1:26" ht="12.75" customHeight="1" x14ac:dyDescent="0.35">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spans="1:26" ht="12.75" customHeight="1" x14ac:dyDescent="0.35">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spans="1:26" ht="12.75" customHeight="1" x14ac:dyDescent="0.35">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spans="1:26" ht="12.75" customHeight="1" x14ac:dyDescent="0.35">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spans="1:26" ht="12.75" customHeight="1" x14ac:dyDescent="0.35">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spans="1:26" ht="12.75" customHeight="1" x14ac:dyDescent="0.35">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spans="1:26" ht="12.75" customHeight="1" x14ac:dyDescent="0.35">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spans="1:26" ht="12.75" customHeight="1" x14ac:dyDescent="0.35">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spans="1:26" ht="12.75" customHeight="1" x14ac:dyDescent="0.35">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spans="1:26" ht="12.75" customHeight="1" x14ac:dyDescent="0.35">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spans="1:26" ht="12.75" customHeight="1" x14ac:dyDescent="0.35">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spans="1:26" ht="12.75" customHeight="1" x14ac:dyDescent="0.35">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spans="1:26" ht="12.75" customHeight="1" x14ac:dyDescent="0.35">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spans="1:26" ht="12.75" customHeight="1" x14ac:dyDescent="0.35">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spans="1:26" ht="12.75" customHeight="1" x14ac:dyDescent="0.35">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spans="1:26" ht="12.75" customHeight="1" x14ac:dyDescent="0.35">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spans="1:26" ht="12.75" customHeight="1" x14ac:dyDescent="0.35">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spans="1:26" ht="12.75" customHeight="1" x14ac:dyDescent="0.35">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spans="1:26" ht="12.75" customHeight="1" x14ac:dyDescent="0.35">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spans="1:26" ht="12.75" customHeight="1" x14ac:dyDescent="0.35">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spans="1:26" ht="12.75" customHeight="1" x14ac:dyDescent="0.35">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spans="1:26" ht="12.75" customHeight="1" x14ac:dyDescent="0.35">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spans="1:26" ht="12.75" customHeight="1" x14ac:dyDescent="0.35">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spans="1:26" ht="12.75" customHeight="1" x14ac:dyDescent="0.35">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spans="1:26" ht="12.75" customHeight="1" x14ac:dyDescent="0.35">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spans="1:26" ht="12.75" customHeight="1" x14ac:dyDescent="0.35">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spans="1:26" ht="12.75" customHeight="1" x14ac:dyDescent="0.35">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spans="1:26" ht="12.75" customHeight="1" x14ac:dyDescent="0.35">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spans="1:26" ht="12.75" customHeight="1" x14ac:dyDescent="0.35">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spans="1:26" ht="12.75" customHeight="1" x14ac:dyDescent="0.35">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spans="1:26" ht="12.75" customHeight="1" x14ac:dyDescent="0.35">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spans="1:26" ht="12.75" customHeight="1" x14ac:dyDescent="0.35">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spans="1:26" ht="12.75" customHeight="1" x14ac:dyDescent="0.35">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spans="1:26" ht="12.75" customHeight="1" x14ac:dyDescent="0.35">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mergeCells count="1">
    <mergeCell ref="B1:H1"/>
  </mergeCells>
  <pageMargins left="0.7" right="0.7" top="0.75" bottom="0.75" header="0.511811023622047" footer="0"/>
  <pageSetup orientation="landscape" horizontalDpi="300" verticalDpi="300"/>
  <headerFooter>
    <oddFooter>&amp;L01/BM/GSDC/CMCSoft e v1.0&amp;CInternal use&amp;RPage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FlyBookingTestCase</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Doan Thu</dc:creator>
  <dc:description/>
  <cp:lastModifiedBy>Nhi Nguyễn</cp:lastModifiedBy>
  <cp:revision>0</cp:revision>
  <dcterms:created xsi:type="dcterms:W3CDTF">2007-09-07T04:27:58Z</dcterms:created>
  <dcterms:modified xsi:type="dcterms:W3CDTF">2026-09-13T02:45:58Z</dcterms:modified>
  <dc:language>en-US</dc:language>
</cp:coreProperties>
</file>